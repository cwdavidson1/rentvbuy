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LIBERTY-WHS\Documents\Craig\finance\analysis\"/>
    </mc:Choice>
  </mc:AlternateContent>
  <bookViews>
    <workbookView xWindow="480" yWindow="45" windowWidth="21840" windowHeight="13740"/>
  </bookViews>
  <sheets>
    <sheet name="Sheet1" sheetId="1" r:id="rId1"/>
    <sheet name="Sheet2" sheetId="2" r:id="rId2"/>
    <sheet name="Sheet3" sheetId="3" r:id="rId3"/>
  </sheets>
  <functionGroups builtInGroupCount="18"/>
  <definedNames>
    <definedName name="additional_util_amt">Sheet1!A$13</definedName>
    <definedName name="appreciation_pct">Sheet1!A$30</definedName>
    <definedName name="available_cash">Sheet1!A$2</definedName>
    <definedName name="buying_cost">Sheet1!A$6</definedName>
    <definedName name="down_pct">Sheet1!A$26</definedName>
    <definedName name="exclusion_amt">Sheet1!A$12</definedName>
    <definedName name="gains_pct">Sheet1!A$21</definedName>
    <definedName name="home_amt">Sheet1!A$25</definedName>
    <definedName name="house_appreciation">Sheet1!A$30</definedName>
    <definedName name="Inflation_pct">Sheet1!A$22</definedName>
    <definedName name="insurance_pct">Sheet1!A$11</definedName>
    <definedName name="inv_amt">Sheet1!A$3</definedName>
    <definedName name="investment_pct">Sheet1!A$19</definedName>
    <definedName name="maintenance_pct">Sheet1!A$10</definedName>
    <definedName name="monthly_utilities_amt">Sheet1!A$13</definedName>
    <definedName name="mortgage_length">Sheet1!A$8</definedName>
    <definedName name="mortgage_pct">Sheet1!A$27</definedName>
    <definedName name="ortgage_pct">Sheet1!A$27</definedName>
    <definedName name="proceeds">Sheet1!A$51</definedName>
    <definedName name="property_tax_pct">Sheet1!A$28</definedName>
    <definedName name="renovation_pct">Sheet1!A$9</definedName>
    <definedName name="rent_amt">Sheet1!A$24</definedName>
    <definedName name="selling_cost">Sheet1!A$7</definedName>
    <definedName name="tax_capital_pct">Sheet1!A$21</definedName>
    <definedName name="tax_pct">Sheet1!A$20</definedName>
    <definedName name="years">Sheet1!A$33</definedName>
  </definedNames>
  <calcPr calcId="152511"/>
</workbook>
</file>

<file path=xl/calcChain.xml><?xml version="1.0" encoding="utf-8"?>
<calcChain xmlns="http://schemas.openxmlformats.org/spreadsheetml/2006/main">
  <c r="I53" i="1" l="1"/>
  <c r="H53" i="1"/>
  <c r="J53" i="1" s="1"/>
  <c r="K53" i="1" s="1"/>
  <c r="E47" i="1"/>
  <c r="G62" i="1" l="1"/>
  <c r="G42" i="1"/>
  <c r="G41" i="1"/>
  <c r="G39" i="1"/>
  <c r="G38" i="1"/>
  <c r="G36" i="1"/>
  <c r="G34" i="1"/>
  <c r="G35" i="1" s="1"/>
  <c r="G70" i="1" s="1"/>
  <c r="G3" i="1"/>
  <c r="G53" i="1" s="1"/>
  <c r="G73" i="1" s="1"/>
  <c r="F62" i="1"/>
  <c r="E62" i="1"/>
  <c r="F42" i="1"/>
  <c r="F41" i="1"/>
  <c r="F39" i="1"/>
  <c r="F38" i="1"/>
  <c r="F36" i="1"/>
  <c r="F34" i="1"/>
  <c r="F3" i="1" s="1"/>
  <c r="F65" i="1" s="1"/>
  <c r="E39" i="1"/>
  <c r="E34" i="1"/>
  <c r="E3" i="1" s="1"/>
  <c r="E82" i="1" s="1"/>
  <c r="G43" i="1"/>
  <c r="G37" i="1"/>
  <c r="F47" i="1"/>
  <c r="F37" i="1"/>
  <c r="F43" i="1"/>
  <c r="F44" i="1"/>
  <c r="G45" i="1"/>
  <c r="G47" i="1"/>
  <c r="F45" i="1"/>
  <c r="E45" i="1"/>
  <c r="G44" i="1"/>
  <c r="G60" i="1" l="1"/>
  <c r="F60" i="1"/>
  <c r="F61" i="1"/>
  <c r="G61" i="1"/>
  <c r="G72" i="1"/>
  <c r="G65" i="1"/>
  <c r="G82" i="1"/>
  <c r="G83" i="1" s="1"/>
  <c r="J38" i="1"/>
  <c r="G49" i="1"/>
  <c r="G64" i="1" s="1"/>
  <c r="G51" i="1"/>
  <c r="G71" i="1" s="1"/>
  <c r="G74" i="1" s="1"/>
  <c r="G48" i="1"/>
  <c r="G80" i="1" s="1"/>
  <c r="G54" i="1"/>
  <c r="G46" i="1"/>
  <c r="F82" i="1"/>
  <c r="F83" i="1" s="1"/>
  <c r="F53" i="1"/>
  <c r="F35" i="1"/>
  <c r="F70" i="1" s="1"/>
  <c r="F72" i="1"/>
  <c r="E72" i="1"/>
  <c r="E53" i="1"/>
  <c r="E73" i="1" s="1"/>
  <c r="E65" i="1"/>
  <c r="E83" i="1"/>
  <c r="E35" i="1"/>
  <c r="E70" i="1" s="1"/>
  <c r="F51" i="1"/>
  <c r="F71" i="1" s="1"/>
  <c r="F48" i="1"/>
  <c r="F63" i="1" s="1"/>
  <c r="F46" i="1"/>
  <c r="F49" i="1"/>
  <c r="F64" i="1" s="1"/>
  <c r="G3" i="2"/>
  <c r="K3" i="2" s="1"/>
  <c r="L3" i="2" s="1"/>
  <c r="M3" i="2" s="1"/>
  <c r="E42" i="1"/>
  <c r="E41" i="1"/>
  <c r="E38" i="1"/>
  <c r="E36" i="1"/>
  <c r="E43" i="1"/>
  <c r="E37" i="1"/>
  <c r="E44" i="1"/>
  <c r="G4" i="2" l="1"/>
  <c r="F80" i="1"/>
  <c r="F84" i="1" s="1"/>
  <c r="E60" i="1"/>
  <c r="E61" i="1"/>
  <c r="G55" i="1"/>
  <c r="G66" i="1"/>
  <c r="I38" i="1"/>
  <c r="K38" i="1" s="1"/>
  <c r="L38" i="1" s="1"/>
  <c r="G84" i="1"/>
  <c r="G63" i="1"/>
  <c r="F54" i="1"/>
  <c r="F66" i="1" s="1"/>
  <c r="F67" i="1" s="1"/>
  <c r="F73" i="1"/>
  <c r="F74" i="1" s="1"/>
  <c r="E54" i="1"/>
  <c r="E46" i="1"/>
  <c r="K4" i="2" l="1"/>
  <c r="L4" i="2" s="1"/>
  <c r="M4" i="2" s="1"/>
  <c r="G67" i="1"/>
  <c r="G76" i="1" s="1"/>
  <c r="F76" i="1"/>
  <c r="F55" i="1"/>
  <c r="E55" i="1"/>
  <c r="E66" i="1"/>
  <c r="E51" i="1"/>
  <c r="E71" i="1" s="1"/>
  <c r="E74" i="1" s="1"/>
  <c r="G5" i="2" l="1"/>
  <c r="K5" i="2" s="1"/>
  <c r="L5" i="2" s="1"/>
  <c r="M5" i="2" s="1"/>
  <c r="M10" i="2" s="1"/>
  <c r="G77" i="1"/>
  <c r="G78" i="1"/>
  <c r="F77" i="1"/>
  <c r="F78" i="1"/>
  <c r="E49" i="1"/>
  <c r="E48" i="1"/>
  <c r="E63" i="1" l="1"/>
  <c r="E80" i="1"/>
  <c r="E64" i="1"/>
  <c r="E84" i="1"/>
  <c r="E67" i="1" l="1"/>
  <c r="E76" i="1" s="1"/>
  <c r="E77" i="1" l="1"/>
  <c r="E78" i="1"/>
</calcChain>
</file>

<file path=xl/sharedStrings.xml><?xml version="1.0" encoding="utf-8"?>
<sst xmlns="http://schemas.openxmlformats.org/spreadsheetml/2006/main" count="82" uniqueCount="81">
  <si>
    <t>Condo Fee/ Common Charge</t>
  </si>
  <si>
    <t>Deductibility of common charges</t>
  </si>
  <si>
    <t>Length of mortgage</t>
  </si>
  <si>
    <t>Annual renovation costs</t>
  </si>
  <si>
    <t>Annual maintenance costs</t>
  </si>
  <si>
    <t>Home owners insurance rate</t>
  </si>
  <si>
    <t>Capital gains exclusion</t>
  </si>
  <si>
    <t>Additional monthly utilities</t>
  </si>
  <si>
    <t>Rent deposit</t>
  </si>
  <si>
    <t>Rent brokers fee</t>
  </si>
  <si>
    <t>Renters insurance rate</t>
  </si>
  <si>
    <t>Marginal tax rate</t>
  </si>
  <si>
    <t>Inflation rate</t>
  </si>
  <si>
    <t>Monthly rent</t>
  </si>
  <si>
    <t>Home Price</t>
  </si>
  <si>
    <t>Down Payment</t>
  </si>
  <si>
    <t>Mortgage Rate</t>
  </si>
  <si>
    <t>Principal</t>
  </si>
  <si>
    <t>Interest</t>
  </si>
  <si>
    <t>Common fee</t>
  </si>
  <si>
    <t>Property tax</t>
  </si>
  <si>
    <t>Number of years</t>
  </si>
  <si>
    <t>Utilities</t>
  </si>
  <si>
    <t>Renovations</t>
  </si>
  <si>
    <t>Maintenance</t>
  </si>
  <si>
    <t>Homeowners Insurance</t>
  </si>
  <si>
    <t>Closing Cost</t>
  </si>
  <si>
    <t>Remaining principal</t>
  </si>
  <si>
    <t>Tax on profit</t>
  </si>
  <si>
    <t>Proceeds on home sale</t>
  </si>
  <si>
    <t>Cost of Selling Home</t>
  </si>
  <si>
    <t>Closing cost when buying</t>
  </si>
  <si>
    <t>Annual rent change</t>
  </si>
  <si>
    <t>Down Payment Percent</t>
  </si>
  <si>
    <t>Cost of buying home</t>
  </si>
  <si>
    <t>interest</t>
  </si>
  <si>
    <t>month</t>
  </si>
  <si>
    <t>year</t>
  </si>
  <si>
    <t>Tax</t>
  </si>
  <si>
    <t>Appreciated Home Price</t>
  </si>
  <si>
    <t>Availabe Funds</t>
  </si>
  <si>
    <t>Total Cash</t>
  </si>
  <si>
    <t>Financed Loan Value</t>
  </si>
  <si>
    <t>Cash Out</t>
  </si>
  <si>
    <t>Total Cash Out</t>
  </si>
  <si>
    <t>Cash In</t>
  </si>
  <si>
    <t>Investment Gross Profit</t>
  </si>
  <si>
    <t>Total Annual Housing Costs</t>
  </si>
  <si>
    <t>Tax on Investment Return</t>
  </si>
  <si>
    <t>Investment Principal</t>
  </si>
  <si>
    <t>Mortgage Loan Payback</t>
  </si>
  <si>
    <t>Mortgage Principal Borrowed</t>
  </si>
  <si>
    <t>Home Sale Proceeds</t>
  </si>
  <si>
    <t>Investment Principal Returned</t>
  </si>
  <si>
    <t>Total Cash In</t>
  </si>
  <si>
    <t>Net Cash Improvement</t>
  </si>
  <si>
    <t>Buyer</t>
  </si>
  <si>
    <t>Seller</t>
  </si>
  <si>
    <t>Mortgage Bank</t>
  </si>
  <si>
    <t>Inv Bank</t>
  </si>
  <si>
    <t>% Cash Improvement</t>
  </si>
  <si>
    <t>Investment Net</t>
  </si>
  <si>
    <t>Investment Gross</t>
  </si>
  <si>
    <t>purchase price</t>
  </si>
  <si>
    <t>Investable amount after down payment</t>
  </si>
  <si>
    <t>Gross Profit on Investable Cash</t>
  </si>
  <si>
    <t>Tax on Investment Cash Profit</t>
  </si>
  <si>
    <t>Net Investment Gains on Investable Cash</t>
  </si>
  <si>
    <t>Balance (Net Worth)</t>
  </si>
  <si>
    <t>Total Spent  (cash, positive is worse)</t>
  </si>
  <si>
    <t>Key line for analysis</t>
  </si>
  <si>
    <t>Out of pocket  housing costs (no opp costs)</t>
  </si>
  <si>
    <t>House Scenario #1</t>
  </si>
  <si>
    <t>House Scenario #2</t>
  </si>
  <si>
    <t>House Scenario #3</t>
  </si>
  <si>
    <t>Marginal Rate of return on investments</t>
  </si>
  <si>
    <t>Long Term Capital Gains Rate</t>
  </si>
  <si>
    <t>Annual property tax percentage</t>
  </si>
  <si>
    <t>Annual Home Price Appreciation</t>
  </si>
  <si>
    <t>Opportunity cost of Down Payment</t>
  </si>
  <si>
    <t>Opportunity costs of Annual Expenses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</si>
</sst>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8" formatCode="&quot;$&quot;#,##0.00_);[Red]\(&quot;$&quot;#,##0.00\)"/>
    <numFmt numFmtId="164" formatCode="0.000%"/>
    <numFmt numFmtId="165" formatCode="&quot;$&quot;#,##0"/>
    <numFmt numFmtId="166" formatCode="&quot;$&quot;#,##0.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10" fontId="0" fillId="0" borderId="0" xfId="0" applyNumberFormat="1"/>
    <xf numFmtId="0" fontId="1" fillId="0" borderId="0" xfId="0" applyFont="1"/>
    <xf numFmtId="8" fontId="0" fillId="0" borderId="0" xfId="0" applyNumberFormat="1"/>
    <xf numFmtId="9" fontId="0" fillId="0" borderId="0" xfId="0" applyNumberFormat="1"/>
    <xf numFmtId="1" fontId="1" fillId="0" borderId="0" xfId="0" applyNumberFormat="1" applyFont="1"/>
    <xf numFmtId="165" fontId="1" fillId="0" borderId="0" xfId="0" applyNumberFormat="1" applyFont="1"/>
    <xf numFmtId="10" fontId="1" fillId="0" borderId="0" xfId="0" applyNumberFormat="1" applyFont="1"/>
    <xf numFmtId="0" fontId="0" fillId="0" borderId="0" xfId="0" applyFill="1"/>
    <xf numFmtId="0" fontId="1" fillId="0" borderId="0" xfId="0" applyFont="1" applyFill="1"/>
    <xf numFmtId="165" fontId="0" fillId="0" borderId="0" xfId="0" applyNumberFormat="1" applyFill="1"/>
    <xf numFmtId="166" fontId="0" fillId="0" borderId="0" xfId="0" applyNumberFormat="1" applyFill="1"/>
    <xf numFmtId="165" fontId="1" fillId="0" borderId="0" xfId="0" applyNumberFormat="1" applyFont="1" applyFill="1"/>
    <xf numFmtId="165" fontId="0" fillId="2" borderId="0" xfId="0" applyNumberFormat="1" applyFill="1"/>
    <xf numFmtId="0" fontId="0" fillId="2" borderId="0" xfId="0" applyFill="1"/>
    <xf numFmtId="0" fontId="1" fillId="2" borderId="0" xfId="0" applyFont="1" applyFill="1"/>
    <xf numFmtId="0" fontId="0" fillId="2" borderId="0" xfId="0" applyFont="1" applyFill="1"/>
    <xf numFmtId="166" fontId="0" fillId="2" borderId="0" xfId="0" applyNumberFormat="1" applyFill="1"/>
    <xf numFmtId="166" fontId="1" fillId="2" borderId="0" xfId="0" applyNumberFormat="1" applyFont="1" applyFill="1"/>
    <xf numFmtId="10" fontId="0" fillId="2" borderId="0" xfId="0" applyNumberFormat="1" applyFill="1"/>
    <xf numFmtId="165" fontId="1" fillId="2" borderId="0" xfId="0" applyNumberFormat="1" applyFont="1" applyFill="1"/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90"/>
  <sheetViews>
    <sheetView tabSelected="1" workbookViewId="0">
      <selection activeCell="A18" sqref="A18"/>
    </sheetView>
  </sheetViews>
  <sheetFormatPr defaultRowHeight="15" x14ac:dyDescent="0.25"/>
  <cols>
    <col min="1" max="1" width="20.42578125" customWidth="1"/>
    <col min="2" max="2" width="7.7109375" customWidth="1"/>
    <col min="3" max="3" width="13.140625" hidden="1" customWidth="1"/>
    <col min="4" max="4" width="43.140625" customWidth="1"/>
    <col min="5" max="5" width="22" customWidth="1"/>
    <col min="6" max="6" width="21.28515625" customWidth="1"/>
    <col min="7" max="7" width="18.140625" customWidth="1"/>
    <col min="8" max="8" width="15.28515625" bestFit="1" customWidth="1"/>
    <col min="9" max="9" width="14" customWidth="1"/>
    <col min="10" max="10" width="12.85546875" customWidth="1"/>
    <col min="11" max="11" width="12.28515625" customWidth="1"/>
    <col min="12" max="12" width="9.85546875" bestFit="1" customWidth="1"/>
  </cols>
  <sheetData>
    <row r="1" spans="4:8" x14ac:dyDescent="0.25">
      <c r="E1" s="24" t="s">
        <v>72</v>
      </c>
      <c r="F1" s="24" t="s">
        <v>73</v>
      </c>
      <c r="G1" s="24" t="s">
        <v>74</v>
      </c>
    </row>
    <row r="2" spans="4:8" x14ac:dyDescent="0.25">
      <c r="D2" t="s">
        <v>40</v>
      </c>
      <c r="E2" s="9">
        <v>3000000</v>
      </c>
      <c r="F2" s="9">
        <v>1400000</v>
      </c>
      <c r="G2" s="9">
        <v>1400000</v>
      </c>
      <c r="H2" s="9">
        <v>1400000</v>
      </c>
    </row>
    <row r="3" spans="4:8" x14ac:dyDescent="0.25">
      <c r="D3" t="s">
        <v>64</v>
      </c>
      <c r="E3" s="16">
        <f>E2-E34</f>
        <v>2670000</v>
      </c>
      <c r="F3" s="16">
        <f>F2-F34</f>
        <v>603125</v>
      </c>
      <c r="G3" s="16">
        <f>G2-G34</f>
        <v>650075</v>
      </c>
      <c r="H3">
        <v>1400000</v>
      </c>
    </row>
    <row r="4" spans="4:8" x14ac:dyDescent="0.25">
      <c r="D4" s="5" t="s">
        <v>0</v>
      </c>
      <c r="E4">
        <v>0</v>
      </c>
      <c r="F4">
        <v>0</v>
      </c>
      <c r="G4">
        <v>0</v>
      </c>
    </row>
    <row r="5" spans="4:8" x14ac:dyDescent="0.25">
      <c r="D5" s="5" t="s">
        <v>1</v>
      </c>
      <c r="E5" s="4">
        <v>0</v>
      </c>
      <c r="F5" s="4">
        <v>0</v>
      </c>
      <c r="G5" s="4">
        <v>0</v>
      </c>
    </row>
    <row r="6" spans="4:8" x14ac:dyDescent="0.25">
      <c r="D6" s="5" t="s">
        <v>34</v>
      </c>
      <c r="E6" s="4">
        <v>0</v>
      </c>
      <c r="F6" s="4">
        <v>0</v>
      </c>
      <c r="G6" s="4">
        <v>0</v>
      </c>
    </row>
    <row r="7" spans="4:8" x14ac:dyDescent="0.25">
      <c r="D7" s="5" t="s">
        <v>30</v>
      </c>
      <c r="E7" s="4">
        <v>0</v>
      </c>
      <c r="F7" s="4">
        <v>0</v>
      </c>
      <c r="G7" s="4">
        <v>0</v>
      </c>
    </row>
    <row r="8" spans="4:8" x14ac:dyDescent="0.25">
      <c r="D8" s="5" t="s">
        <v>2</v>
      </c>
      <c r="E8">
        <v>30</v>
      </c>
      <c r="F8">
        <v>30</v>
      </c>
      <c r="G8">
        <v>30</v>
      </c>
    </row>
    <row r="9" spans="4:8" x14ac:dyDescent="0.25">
      <c r="D9" s="5" t="s">
        <v>3</v>
      </c>
      <c r="E9" s="4">
        <v>2E-3</v>
      </c>
      <c r="F9" s="4">
        <v>2E-3</v>
      </c>
      <c r="G9" s="4">
        <v>2E-3</v>
      </c>
    </row>
    <row r="10" spans="4:8" x14ac:dyDescent="0.25">
      <c r="D10" s="5" t="s">
        <v>4</v>
      </c>
      <c r="E10" s="4">
        <v>2E-3</v>
      </c>
      <c r="F10" s="4">
        <v>2E-3</v>
      </c>
      <c r="G10" s="4">
        <v>2E-3</v>
      </c>
    </row>
    <row r="11" spans="4:8" x14ac:dyDescent="0.25">
      <c r="D11" s="5" t="s">
        <v>5</v>
      </c>
      <c r="E11" s="4">
        <v>1E-3</v>
      </c>
      <c r="F11" s="4">
        <v>1E-3</v>
      </c>
      <c r="G11" s="4">
        <v>1E-3</v>
      </c>
    </row>
    <row r="12" spans="4:8" x14ac:dyDescent="0.25">
      <c r="D12" s="5" t="s">
        <v>6</v>
      </c>
      <c r="E12" s="2">
        <v>500000</v>
      </c>
      <c r="F12" s="2">
        <v>500000</v>
      </c>
      <c r="G12" s="2">
        <v>500000</v>
      </c>
    </row>
    <row r="13" spans="4:8" x14ac:dyDescent="0.25">
      <c r="D13" s="5" t="s">
        <v>7</v>
      </c>
      <c r="E13" s="2">
        <v>400</v>
      </c>
      <c r="F13" s="2">
        <v>0</v>
      </c>
      <c r="G13" s="2">
        <v>0</v>
      </c>
    </row>
    <row r="15" spans="4:8" x14ac:dyDescent="0.25">
      <c r="D15" s="5" t="s">
        <v>8</v>
      </c>
      <c r="E15">
        <v>0</v>
      </c>
      <c r="F15">
        <v>0</v>
      </c>
      <c r="G15">
        <v>0</v>
      </c>
    </row>
    <row r="16" spans="4:8" x14ac:dyDescent="0.25">
      <c r="D16" s="5" t="s">
        <v>9</v>
      </c>
      <c r="E16" s="4">
        <v>0</v>
      </c>
      <c r="F16" s="4">
        <v>0</v>
      </c>
      <c r="G16" s="4">
        <v>0</v>
      </c>
    </row>
    <row r="17" spans="4:8" x14ac:dyDescent="0.25">
      <c r="D17" s="5" t="s">
        <v>10</v>
      </c>
      <c r="E17" s="4">
        <v>0</v>
      </c>
      <c r="F17" s="4">
        <v>0</v>
      </c>
      <c r="G17" s="4">
        <v>0</v>
      </c>
    </row>
    <row r="19" spans="4:8" x14ac:dyDescent="0.25">
      <c r="D19" s="5" t="s">
        <v>75</v>
      </c>
      <c r="E19" s="10">
        <v>7.0000000000000007E-2</v>
      </c>
      <c r="F19" s="10">
        <v>0.06</v>
      </c>
      <c r="G19" s="10">
        <v>0.06</v>
      </c>
      <c r="H19" s="10">
        <v>0.06</v>
      </c>
    </row>
    <row r="20" spans="4:8" x14ac:dyDescent="0.25">
      <c r="D20" s="5" t="s">
        <v>11</v>
      </c>
      <c r="E20" s="10">
        <v>0.2</v>
      </c>
      <c r="F20" s="10">
        <v>0.2</v>
      </c>
      <c r="G20" s="10">
        <v>0.2</v>
      </c>
    </row>
    <row r="21" spans="4:8" x14ac:dyDescent="0.25">
      <c r="D21" s="5" t="s">
        <v>76</v>
      </c>
      <c r="E21" s="10">
        <v>0.15</v>
      </c>
      <c r="F21" s="10">
        <v>0.15</v>
      </c>
      <c r="G21" s="10">
        <v>0.15</v>
      </c>
    </row>
    <row r="22" spans="4:8" x14ac:dyDescent="0.25">
      <c r="D22" s="5" t="s">
        <v>12</v>
      </c>
      <c r="E22" s="10">
        <v>0.03</v>
      </c>
      <c r="F22" s="10">
        <v>0.03</v>
      </c>
      <c r="G22" s="10">
        <v>0.03</v>
      </c>
    </row>
    <row r="24" spans="4:8" x14ac:dyDescent="0.25">
      <c r="D24" t="s">
        <v>13</v>
      </c>
      <c r="E24" s="2">
        <v>2500</v>
      </c>
      <c r="F24" s="2">
        <v>1000</v>
      </c>
      <c r="G24" s="2">
        <v>1000</v>
      </c>
    </row>
    <row r="25" spans="4:8" x14ac:dyDescent="0.25">
      <c r="D25" s="5" t="s">
        <v>14</v>
      </c>
      <c r="E25" s="9">
        <v>1100000</v>
      </c>
      <c r="F25" s="9">
        <v>1275000</v>
      </c>
      <c r="G25" s="9">
        <v>750000</v>
      </c>
    </row>
    <row r="26" spans="4:8" x14ac:dyDescent="0.25">
      <c r="D26" s="5" t="s">
        <v>33</v>
      </c>
      <c r="E26" s="10">
        <v>0.3</v>
      </c>
      <c r="F26" s="10">
        <v>0.625</v>
      </c>
      <c r="G26" s="10">
        <v>0.99990000000000001</v>
      </c>
    </row>
    <row r="27" spans="4:8" x14ac:dyDescent="0.25">
      <c r="D27" s="5" t="s">
        <v>16</v>
      </c>
      <c r="E27" s="10">
        <v>0.03</v>
      </c>
      <c r="F27" s="10">
        <v>0.04</v>
      </c>
      <c r="G27" s="10">
        <v>0.04</v>
      </c>
    </row>
    <row r="28" spans="4:8" x14ac:dyDescent="0.25">
      <c r="D28" s="5" t="s">
        <v>77</v>
      </c>
      <c r="E28" s="10">
        <v>8.9999999999999993E-3</v>
      </c>
      <c r="F28" s="10">
        <v>1.2E-2</v>
      </c>
      <c r="G28" s="10">
        <v>0.01</v>
      </c>
    </row>
    <row r="29" spans="4:8" x14ac:dyDescent="0.25">
      <c r="E29" s="1"/>
      <c r="F29" s="1"/>
      <c r="G29" s="1"/>
    </row>
    <row r="30" spans="4:8" x14ac:dyDescent="0.25">
      <c r="D30" s="5" t="s">
        <v>78</v>
      </c>
      <c r="E30" s="4">
        <v>0.03</v>
      </c>
      <c r="F30" s="4">
        <v>0.03</v>
      </c>
      <c r="G30" s="4">
        <v>0.03</v>
      </c>
    </row>
    <row r="31" spans="4:8" x14ac:dyDescent="0.25">
      <c r="D31" s="5" t="s">
        <v>32</v>
      </c>
      <c r="E31" s="4">
        <v>0.03</v>
      </c>
      <c r="F31" s="4">
        <v>0</v>
      </c>
      <c r="G31" s="4">
        <v>0</v>
      </c>
    </row>
    <row r="33" spans="4:12" x14ac:dyDescent="0.25">
      <c r="D33" s="5" t="s">
        <v>21</v>
      </c>
      <c r="E33" s="8">
        <v>25</v>
      </c>
      <c r="F33" s="8">
        <v>1</v>
      </c>
      <c r="G33" s="8">
        <v>1</v>
      </c>
      <c r="H33" s="8">
        <v>1</v>
      </c>
    </row>
    <row r="34" spans="4:12" x14ac:dyDescent="0.25">
      <c r="D34" s="17" t="s">
        <v>15</v>
      </c>
      <c r="E34" s="16">
        <f>home_amt*down_pct</f>
        <v>330000</v>
      </c>
      <c r="F34" s="16">
        <f>home_amt*down_pct</f>
        <v>796875</v>
      </c>
      <c r="G34" s="16">
        <f>home_amt*down_pct</f>
        <v>749925</v>
      </c>
      <c r="H34">
        <v>0</v>
      </c>
    </row>
    <row r="35" spans="4:12" x14ac:dyDescent="0.25">
      <c r="D35" s="17" t="s">
        <v>42</v>
      </c>
      <c r="E35" s="16">
        <f>E25-E34</f>
        <v>770000</v>
      </c>
      <c r="F35" s="16">
        <f>F25-F34</f>
        <v>478125</v>
      </c>
      <c r="G35" s="16">
        <f>G25-G34</f>
        <v>75</v>
      </c>
    </row>
    <row r="36" spans="4:12" x14ac:dyDescent="0.25">
      <c r="D36" s="17" t="s">
        <v>31</v>
      </c>
      <c r="E36" s="16">
        <f>home_amt*buying_cost</f>
        <v>0</v>
      </c>
      <c r="F36" s="16">
        <f>home_amt*buying_cost</f>
        <v>0</v>
      </c>
      <c r="G36" s="16">
        <f>home_amt*buying_cost</f>
        <v>0</v>
      </c>
    </row>
    <row r="37" spans="4:12" x14ac:dyDescent="0.25">
      <c r="D37" s="17" t="s">
        <v>39</v>
      </c>
      <c r="E37" s="16">
        <f>Apprec(home_amt,house_appreciation,years)</f>
        <v>2303155.7226196378</v>
      </c>
      <c r="F37" s="16">
        <f>Apprec(home_amt,house_appreciation,years)</f>
        <v>1313250</v>
      </c>
      <c r="G37" s="16">
        <f>Apprec(home_amt,house_appreciation,years)</f>
        <v>772500</v>
      </c>
      <c r="H37" s="6"/>
    </row>
    <row r="38" spans="4:12" x14ac:dyDescent="0.25">
      <c r="D38" s="17" t="s">
        <v>17</v>
      </c>
      <c r="E38" s="16">
        <f>CUMPRINC(mortgage_pct/12,(mortgage_length*12),(home_amt*(1-down_pct)),1,(years*12),0)*-1</f>
        <v>589332.90964770305</v>
      </c>
      <c r="F38" s="16">
        <f>CUMPRINC(mortgage_pct/12,(mortgage_length*12),(home_amt*(1-down_pct)),1,(years*12),0)*-1</f>
        <v>8419.9554464863977</v>
      </c>
      <c r="G38" s="16">
        <f>CUMPRINC(mortgage_pct/12,(mortgage_length*12),(home_amt*(1-down_pct)),1,(years*12),0)*-1</f>
        <v>1.3207773249388974</v>
      </c>
      <c r="I38" s="2">
        <f>F39+F41+F43+F44+F45+F46</f>
        <v>74991.472704675485</v>
      </c>
      <c r="J38" s="2">
        <f>F37-F25</f>
        <v>38250</v>
      </c>
      <c r="K38" s="2">
        <f>J38-I38</f>
        <v>-36741.472704675485</v>
      </c>
      <c r="L38" s="3">
        <f>K38/12</f>
        <v>-3061.7893920562906</v>
      </c>
    </row>
    <row r="39" spans="4:12" x14ac:dyDescent="0.25">
      <c r="D39" s="17" t="s">
        <v>18</v>
      </c>
      <c r="E39" s="16">
        <f>CUMIPMT(mortgage_pct/12,(mortgage_length*12),(home_amt*(1-down_pct)),1,(years*12),0)*(1-tax_pct)*-1</f>
        <v>307657.9266138621</v>
      </c>
      <c r="F39" s="16">
        <f>CUMIPMT(mortgage_pct/12,(mortgage_length*12),(home_amt*(1-down_pct)),1,(years*12),0)*(1-tax_pct)*-1</f>
        <v>15177.397704675474</v>
      </c>
      <c r="G39" s="16">
        <f>CUMIPMT(mortgage_pct/12,(mortgage_length*12),(home_amt*(1-down_pct)),1,(years*12),0)*(1-tax_pct)*-1</f>
        <v>2.3807682673998118</v>
      </c>
    </row>
    <row r="40" spans="4:12" x14ac:dyDescent="0.25">
      <c r="D40" s="17" t="s">
        <v>19</v>
      </c>
      <c r="E40" s="17"/>
      <c r="F40" s="17"/>
      <c r="G40" s="17"/>
    </row>
    <row r="41" spans="4:12" x14ac:dyDescent="0.25">
      <c r="D41" s="17" t="s">
        <v>20</v>
      </c>
      <c r="E41" s="16">
        <f>FV(appreciation_pct,years,(home_amt*property_tax_pct),0,1)*(1-tax_pct)*-1</f>
        <v>297420.09463157383</v>
      </c>
      <c r="F41" s="16">
        <f>FV(appreciation_pct,years,(home_amt*property_tax_pct),0,1)*(1-tax_pct)*-1</f>
        <v>12607.200000000012</v>
      </c>
      <c r="G41" s="16">
        <f>FV(appreciation_pct,years,(home_amt*property_tax_pct),0,1)*(1-tax_pct)*-1</f>
        <v>6180.0000000000064</v>
      </c>
      <c r="K41" s="6"/>
    </row>
    <row r="42" spans="4:12" x14ac:dyDescent="0.25">
      <c r="D42" s="17" t="s">
        <v>22</v>
      </c>
      <c r="E42" s="16">
        <f>FV(Inflation_pct,years,(12*additional_util_amt),0,0)*-1</f>
        <v>175004.4687446742</v>
      </c>
      <c r="F42" s="16">
        <f>FV(Inflation_pct,years,(12*additional_util_amt),0,0)*-1</f>
        <v>0</v>
      </c>
      <c r="G42" s="16">
        <f>FV(Inflation_pct,years,(12*additional_util_amt),0,0)*-1</f>
        <v>0</v>
      </c>
    </row>
    <row r="43" spans="4:12" x14ac:dyDescent="0.25">
      <c r="D43" s="17" t="s">
        <v>23</v>
      </c>
      <c r="E43" s="16">
        <f>total_recurring_cost_house_and_inflation_adjusted(home_amt,renovation_pct,house_appreciation,Inflation_pct,years,0)</f>
        <v>82616.692953214952</v>
      </c>
      <c r="F43" s="16">
        <f>total_recurring_cost_house_and_inflation_adjusted(home_amt,renovation_pct,house_appreciation,Inflation_pct,years,0)</f>
        <v>2626.5000000000023</v>
      </c>
      <c r="G43" s="16">
        <f>total_recurring_cost_house_and_inflation_adjusted(home_amt,renovation_pct,house_appreciation,Inflation_pct,years,0)</f>
        <v>1545.0000000000014</v>
      </c>
      <c r="K43" s="6"/>
    </row>
    <row r="44" spans="4:12" x14ac:dyDescent="0.25">
      <c r="D44" s="17" t="s">
        <v>24</v>
      </c>
      <c r="E44" s="16">
        <f>total_recurring_cost_house_and_inflation_adjusted(home_amt,maintenance_pct,house_appreciation,Inflation_pct,years,0)</f>
        <v>82616.692953214952</v>
      </c>
      <c r="F44" s="16">
        <f>total_recurring_cost_house_and_inflation_adjusted(home_amt,maintenance_pct,house_appreciation,Inflation_pct,years,0)</f>
        <v>2626.5000000000023</v>
      </c>
      <c r="G44" s="16">
        <f>total_recurring_cost_house_and_inflation_adjusted(home_amt,maintenance_pct,house_appreciation,Inflation_pct,years,0)</f>
        <v>1545.0000000000014</v>
      </c>
      <c r="H44" s="6"/>
      <c r="I44" s="6"/>
      <c r="J44" s="6"/>
    </row>
    <row r="45" spans="4:12" x14ac:dyDescent="0.25">
      <c r="D45" s="17" t="s">
        <v>25</v>
      </c>
      <c r="E45" s="16">
        <f>total_recurring_cost_house_adjusted(home_amt,insurance_pct,house_appreciation,years)</f>
        <v>41308.346476607476</v>
      </c>
      <c r="F45" s="16">
        <f>total_recurring_cost_house_adjusted(home_amt,insurance_pct,house_appreciation,years)</f>
        <v>1313.2500000000011</v>
      </c>
      <c r="G45" s="16">
        <f>total_recurring_cost_house_adjusted(home_amt,insurance_pct,house_appreciation,years)</f>
        <v>772.50000000000068</v>
      </c>
      <c r="I45" s="3"/>
    </row>
    <row r="46" spans="4:12" x14ac:dyDescent="0.25">
      <c r="D46" s="17" t="s">
        <v>79</v>
      </c>
      <c r="E46" s="16">
        <f>((E$34+E$36)*(1+E$19*0.85)^(E$33)-(E$34+E$36))</f>
        <v>1069709.6799238478</v>
      </c>
      <c r="F46" s="16">
        <f>((F$34+F$36)*(1+F$19*0.85)^(F$33)-(F$34+F$36))</f>
        <v>40640.625</v>
      </c>
      <c r="G46" s="16">
        <f>((G$34+G$36)*(1+G$19*0.85)^(G$33)-(G$34+G$36))</f>
        <v>38246.17499999993</v>
      </c>
      <c r="K46" s="6"/>
    </row>
    <row r="47" spans="4:12" x14ac:dyDescent="0.25">
      <c r="D47" s="19" t="s">
        <v>80</v>
      </c>
      <c r="E47" s="16">
        <f>total_opportunity_cost_house_and_inflation_adjusted(home_amt,renovation_pct,house_appreciation,Inflation_pct,years,investment_pct, gains_pct) + total_opportunity_cost_house_and_inflation_adjusted(home_amt,maintenance_pct,house_appreciation,Inflation_pct,years,investment_pct, gains_pct)+total_opportunity_cost_house_adjusted(home_amt,insurance_pct,house_appreciation,years,investment_pct, gains_pct)+total_opportunity_cost_mortgage(home_amt*(1-down_pct),mortgage_pct,mortgage_length,tax_pct,investment_pct,tax_capital_pct,years)+total_opportunity_cost_utilities(monthly_utilities_amt,Inflation_pct,investment_pct,tax_capital_pct,years)+total_opportunity_cost_property_tax(home_amt*property_tax_pct,house_appreciation,investment_pct,tax_pct,tax_capital_pct,years)</f>
        <v>1712817.9916160263</v>
      </c>
      <c r="F47" s="16">
        <f>total_opportunity_cost_house_and_inflation_adjusted(home_amt,renovation_pct,house_appreciation,Inflation_pct,years,investment_pct, gains_pct) + total_opportunity_cost_house_and_inflation_adjusted(home_amt,maintenance_pct,house_appreciation,Inflation_pct,years,investment_pct, gains_pct)+total_opportunity_cost_house_adjusted(home_amt,insurance_pct,house_appreciation,years,investment_pct, gains_pct)+total_opportunity_cost_mortgage(home_amt*(1-down_pct),mortgage_pct,mortgage_length,tax_pct,investment_pct,tax_capital_pct,years)+total_opportunity_cost_utilities(monthly_utilities_amt,Inflation_pct,investment_pct,tax_capital_pct,years)+total_opportunity_cost_property_tax(home_amt*property_tax_pct,house_appreciation,investment_pct,tax_pct,tax_capital_pct,years)</f>
        <v>0</v>
      </c>
      <c r="G47" s="16">
        <f>total_opportunity_cost_house_and_inflation_adjusted(home_amt,renovation_pct,house_appreciation,Inflation_pct,years,investment_pct, gains_pct) + total_opportunity_cost_house_and_inflation_adjusted(home_amt,maintenance_pct,house_appreciation,Inflation_pct,years,investment_pct, gains_pct)+total_opportunity_cost_house_adjusted(home_amt,insurance_pct,house_appreciation,years,investment_pct, gains_pct)+total_opportunity_cost_mortgage(home_amt*(1-down_pct),mortgage_pct,mortgage_length,tax_pct,investment_pct,tax_capital_pct,years)+total_opportunity_cost_utilities(monthly_utilities_amt,Inflation_pct,investment_pct,tax_capital_pct,years)+total_opportunity_cost_property_tax(home_amt*property_tax_pct,house_appreciation,investment_pct,tax_pct,tax_capital_pct,years)</f>
        <v>0</v>
      </c>
      <c r="H47" s="3"/>
      <c r="I47" s="3"/>
      <c r="J47" s="3"/>
    </row>
    <row r="48" spans="4:12" x14ac:dyDescent="0.25">
      <c r="D48" s="17" t="s">
        <v>26</v>
      </c>
      <c r="E48" s="16">
        <f>E37*E7</f>
        <v>0</v>
      </c>
      <c r="F48" s="16">
        <f>F37*F7</f>
        <v>0</v>
      </c>
      <c r="G48" s="16">
        <f>G37*G7</f>
        <v>0</v>
      </c>
    </row>
    <row r="49" spans="4:11" x14ac:dyDescent="0.25">
      <c r="D49" s="17" t="s">
        <v>27</v>
      </c>
      <c r="E49" s="16">
        <f>(E25-E34)-E38</f>
        <v>180667.09035229695</v>
      </c>
      <c r="F49" s="16">
        <f>(F25-F34)-F38</f>
        <v>469705.04455351358</v>
      </c>
      <c r="G49" s="16">
        <f>(G25-G34)-G38</f>
        <v>73.679222675061098</v>
      </c>
    </row>
    <row r="50" spans="4:11" x14ac:dyDescent="0.25">
      <c r="D50" s="17" t="s">
        <v>28</v>
      </c>
      <c r="E50" s="17">
        <v>0</v>
      </c>
      <c r="F50" s="17">
        <v>0</v>
      </c>
      <c r="G50" s="17">
        <v>0</v>
      </c>
    </row>
    <row r="51" spans="4:11" x14ac:dyDescent="0.25">
      <c r="D51" s="17" t="s">
        <v>29</v>
      </c>
      <c r="E51" s="16">
        <f>E37*-1</f>
        <v>-2303155.7226196378</v>
      </c>
      <c r="F51" s="16">
        <f>F37*-1</f>
        <v>-1313250</v>
      </c>
      <c r="G51" s="16">
        <f>G37*-1</f>
        <v>-772500</v>
      </c>
    </row>
    <row r="52" spans="4:11" x14ac:dyDescent="0.25">
      <c r="D52" s="17"/>
      <c r="E52" s="16"/>
      <c r="F52" s="16"/>
      <c r="G52" s="16"/>
    </row>
    <row r="53" spans="4:11" x14ac:dyDescent="0.25">
      <c r="D53" s="17" t="s">
        <v>65</v>
      </c>
      <c r="E53" s="16">
        <f>FV(investment_pct,years,0,-(inv_amt),1)-(inv_amt)</f>
        <v>11821245.149128119</v>
      </c>
      <c r="F53" s="16">
        <f>FV(investment_pct,years,0,-(inv_amt),1)-(inv_amt)</f>
        <v>36187.5</v>
      </c>
      <c r="G53" s="16">
        <f>FV(investment_pct,years,0,-(inv_amt),1)-(inv_amt)</f>
        <v>39004.5</v>
      </c>
      <c r="H53" s="16">
        <f>FV(investment_pct,years,0,-(inv_amt),1)-(inv_amt)</f>
        <v>84000</v>
      </c>
      <c r="I53" s="16">
        <f>2700*12-3000</f>
        <v>29400</v>
      </c>
      <c r="J53" s="2">
        <f>I53-H53</f>
        <v>-54600</v>
      </c>
      <c r="K53" s="2">
        <f>H2-J53</f>
        <v>1454600</v>
      </c>
    </row>
    <row r="54" spans="4:11" x14ac:dyDescent="0.25">
      <c r="D54" s="17" t="s">
        <v>66</v>
      </c>
      <c r="E54" s="20">
        <f>E53*tax_capital_pct</f>
        <v>1773186.7723692178</v>
      </c>
      <c r="F54" s="20">
        <f>F53*tax_capital_pct</f>
        <v>5428.125</v>
      </c>
      <c r="G54" s="20">
        <f>G53*tax_capital_pct</f>
        <v>5850.6750000000002</v>
      </c>
    </row>
    <row r="55" spans="4:11" x14ac:dyDescent="0.25">
      <c r="D55" s="18" t="s">
        <v>67</v>
      </c>
      <c r="E55" s="21">
        <f>E53-E54</f>
        <v>10048058.376758901</v>
      </c>
      <c r="F55" s="21">
        <f>F53-F54</f>
        <v>30759.375</v>
      </c>
      <c r="G55" s="21">
        <f>G53-G54</f>
        <v>33153.824999999997</v>
      </c>
    </row>
    <row r="56" spans="4:11" x14ac:dyDescent="0.25">
      <c r="D56" s="11"/>
      <c r="E56" s="14"/>
      <c r="F56" s="14"/>
    </row>
    <row r="57" spans="4:11" x14ac:dyDescent="0.25">
      <c r="D57" s="11"/>
      <c r="E57" s="14"/>
      <c r="F57" s="14"/>
    </row>
    <row r="58" spans="4:11" x14ac:dyDescent="0.25">
      <c r="D58" s="11"/>
      <c r="E58" s="14"/>
      <c r="F58" s="14"/>
    </row>
    <row r="59" spans="4:11" x14ac:dyDescent="0.25">
      <c r="D59" s="12" t="s">
        <v>43</v>
      </c>
      <c r="E59" s="11"/>
      <c r="F59" s="11"/>
    </row>
    <row r="60" spans="4:11" x14ac:dyDescent="0.25">
      <c r="D60" s="17" t="s">
        <v>47</v>
      </c>
      <c r="E60" s="16">
        <f>SUM(E38:E45)</f>
        <v>1575957.1320208507</v>
      </c>
      <c r="F60" s="16">
        <f t="shared" ref="F60:G60" si="0">SUM(F38:F45)</f>
        <v>42770.803151161883</v>
      </c>
      <c r="G60" s="16">
        <f t="shared" si="0"/>
        <v>10046.201545592348</v>
      </c>
      <c r="H60" s="2"/>
    </row>
    <row r="61" spans="4:11" x14ac:dyDescent="0.25">
      <c r="D61" s="17" t="s">
        <v>71</v>
      </c>
      <c r="E61" s="16">
        <f>SUM(E38:E45)</f>
        <v>1575957.1320208507</v>
      </c>
      <c r="F61" s="16">
        <f>SUM(F38:F45)</f>
        <v>42770.803151161883</v>
      </c>
      <c r="G61" s="16">
        <f>SUM(G38:G45)</f>
        <v>10046.201545592348</v>
      </c>
      <c r="H61" s="2"/>
    </row>
    <row r="62" spans="4:11" x14ac:dyDescent="0.25">
      <c r="D62" s="17" t="s">
        <v>63</v>
      </c>
      <c r="E62" s="16">
        <f>home_amt</f>
        <v>1100000</v>
      </c>
      <c r="F62" s="16">
        <f>home_amt</f>
        <v>1275000</v>
      </c>
      <c r="G62" s="16">
        <f>home_amt</f>
        <v>750000</v>
      </c>
      <c r="H62" s="2"/>
    </row>
    <row r="63" spans="4:11" x14ac:dyDescent="0.25">
      <c r="D63" s="17" t="s">
        <v>26</v>
      </c>
      <c r="E63" s="16">
        <f t="shared" ref="E63:G64" si="1">E48</f>
        <v>0</v>
      </c>
      <c r="F63" s="16">
        <f t="shared" si="1"/>
        <v>0</v>
      </c>
      <c r="G63" s="16">
        <f t="shared" si="1"/>
        <v>0</v>
      </c>
      <c r="H63" s="2"/>
    </row>
    <row r="64" spans="4:11" x14ac:dyDescent="0.25">
      <c r="D64" s="17" t="s">
        <v>50</v>
      </c>
      <c r="E64" s="16">
        <f t="shared" si="1"/>
        <v>180667.09035229695</v>
      </c>
      <c r="F64" s="16">
        <f t="shared" si="1"/>
        <v>469705.04455351358</v>
      </c>
      <c r="G64" s="16">
        <f t="shared" si="1"/>
        <v>73.679222675061098</v>
      </c>
      <c r="H64" s="2"/>
    </row>
    <row r="65" spans="1:8" x14ac:dyDescent="0.25">
      <c r="D65" s="17" t="s">
        <v>49</v>
      </c>
      <c r="E65" s="16">
        <f>inv_amt</f>
        <v>2670000</v>
      </c>
      <c r="F65" s="16">
        <f>inv_amt</f>
        <v>603125</v>
      </c>
      <c r="G65" s="16">
        <f>inv_amt</f>
        <v>650075</v>
      </c>
      <c r="H65" s="2"/>
    </row>
    <row r="66" spans="1:8" x14ac:dyDescent="0.25">
      <c r="D66" s="17" t="s">
        <v>48</v>
      </c>
      <c r="E66" s="16">
        <f>E54</f>
        <v>1773186.7723692178</v>
      </c>
      <c r="F66" s="16">
        <f>F54</f>
        <v>5428.125</v>
      </c>
      <c r="G66" s="16">
        <f>G54</f>
        <v>5850.6750000000002</v>
      </c>
      <c r="H66" s="2"/>
    </row>
    <row r="67" spans="1:8" x14ac:dyDescent="0.25">
      <c r="D67" s="12" t="s">
        <v>44</v>
      </c>
      <c r="E67" s="15">
        <f>SUM(E61:E66)</f>
        <v>7299810.9947423656</v>
      </c>
      <c r="F67" s="15">
        <f t="shared" ref="F67:G67" si="2">SUM(F61:F66)</f>
        <v>2396028.9727046755</v>
      </c>
      <c r="G67" s="15">
        <f t="shared" si="2"/>
        <v>1416045.5557682675</v>
      </c>
      <c r="H67" s="2"/>
    </row>
    <row r="68" spans="1:8" x14ac:dyDescent="0.25">
      <c r="D68" s="11"/>
      <c r="E68" s="13"/>
      <c r="F68" s="13"/>
      <c r="G68" s="13"/>
      <c r="H68" s="2"/>
    </row>
    <row r="69" spans="1:8" x14ac:dyDescent="0.25">
      <c r="D69" s="12" t="s">
        <v>45</v>
      </c>
      <c r="E69" s="13"/>
      <c r="F69" s="13"/>
      <c r="G69" s="13"/>
      <c r="H69" s="2"/>
    </row>
    <row r="70" spans="1:8" x14ac:dyDescent="0.25">
      <c r="D70" s="17" t="s">
        <v>51</v>
      </c>
      <c r="E70" s="16">
        <f>E35</f>
        <v>770000</v>
      </c>
      <c r="F70" s="16">
        <f>F35</f>
        <v>478125</v>
      </c>
      <c r="G70" s="16">
        <f>G35</f>
        <v>75</v>
      </c>
      <c r="H70" s="2"/>
    </row>
    <row r="71" spans="1:8" ht="14.25" customHeight="1" x14ac:dyDescent="0.25">
      <c r="D71" s="17" t="s">
        <v>52</v>
      </c>
      <c r="E71" s="16">
        <f>proceeds*-1</f>
        <v>2303155.7226196378</v>
      </c>
      <c r="F71" s="16">
        <f>proceeds*-1</f>
        <v>1313250</v>
      </c>
      <c r="G71" s="16">
        <f>proceeds*-1</f>
        <v>772500</v>
      </c>
      <c r="H71" s="2"/>
    </row>
    <row r="72" spans="1:8" x14ac:dyDescent="0.25">
      <c r="D72" s="17" t="s">
        <v>53</v>
      </c>
      <c r="E72" s="16">
        <f>inv_amt</f>
        <v>2670000</v>
      </c>
      <c r="F72" s="16">
        <f>inv_amt</f>
        <v>603125</v>
      </c>
      <c r="G72" s="16">
        <f>inv_amt</f>
        <v>650075</v>
      </c>
      <c r="H72" s="2"/>
    </row>
    <row r="73" spans="1:8" x14ac:dyDescent="0.25">
      <c r="D73" s="17" t="s">
        <v>46</v>
      </c>
      <c r="E73" s="16">
        <f>E53</f>
        <v>11821245.149128119</v>
      </c>
      <c r="F73" s="16">
        <f>F53</f>
        <v>36187.5</v>
      </c>
      <c r="G73" s="16">
        <f>G53</f>
        <v>39004.5</v>
      </c>
      <c r="H73" s="2"/>
    </row>
    <row r="74" spans="1:8" x14ac:dyDescent="0.25">
      <c r="D74" s="12" t="s">
        <v>54</v>
      </c>
      <c r="E74" s="15">
        <f>SUM(E70:E73)</f>
        <v>17564400.871747755</v>
      </c>
      <c r="F74" s="15">
        <f>SUM(F70:F73)</f>
        <v>2430687.5</v>
      </c>
      <c r="G74" s="15">
        <f>SUM(G70:G73)</f>
        <v>1461654.5</v>
      </c>
      <c r="H74" s="2"/>
    </row>
    <row r="75" spans="1:8" x14ac:dyDescent="0.25">
      <c r="D75" s="11"/>
      <c r="E75" s="13"/>
      <c r="F75" s="13"/>
      <c r="G75" s="13"/>
      <c r="H75" s="2"/>
    </row>
    <row r="76" spans="1:8" x14ac:dyDescent="0.25">
      <c r="D76" s="17" t="s">
        <v>55</v>
      </c>
      <c r="E76" s="16">
        <f>E74-E67</f>
        <v>10264589.877005389</v>
      </c>
      <c r="F76" s="16">
        <f>F74-F67</f>
        <v>34658.527295324486</v>
      </c>
      <c r="G76" s="16">
        <f>G74-G67</f>
        <v>45608.944231732516</v>
      </c>
    </row>
    <row r="77" spans="1:8" x14ac:dyDescent="0.25">
      <c r="D77" s="17" t="s">
        <v>60</v>
      </c>
      <c r="E77" s="22">
        <f>E76/available_cash</f>
        <v>3.4215299590017962</v>
      </c>
      <c r="F77" s="22">
        <f>F76/available_cash</f>
        <v>2.4756090925231775E-2</v>
      </c>
      <c r="G77" s="22">
        <f>G76/available_cash</f>
        <v>3.2577817308380365E-2</v>
      </c>
    </row>
    <row r="78" spans="1:8" x14ac:dyDescent="0.25">
      <c r="A78" s="5" t="s">
        <v>70</v>
      </c>
      <c r="D78" s="18" t="s">
        <v>68</v>
      </c>
      <c r="E78" s="23">
        <f>available_cash+E76</f>
        <v>13264589.877005389</v>
      </c>
      <c r="F78" s="23">
        <f>available_cash+F76</f>
        <v>1434658.5272953245</v>
      </c>
      <c r="G78" s="23">
        <f>available_cash+G76</f>
        <v>1445608.9442317325</v>
      </c>
    </row>
    <row r="79" spans="1:8" x14ac:dyDescent="0.25">
      <c r="D79" s="11"/>
      <c r="E79" s="13"/>
      <c r="F79" s="13"/>
      <c r="G79" s="13"/>
    </row>
    <row r="80" spans="1:8" x14ac:dyDescent="0.25">
      <c r="D80" s="12" t="s">
        <v>69</v>
      </c>
      <c r="E80" s="15">
        <f>E34+E36+E38+E39+SUM(E41:E45)+E48+E49+E51</f>
        <v>-216531.50024649035</v>
      </c>
      <c r="F80" s="15">
        <f>F34+F36+F38+F39+SUM(F41:F45)+F48+F49+F51</f>
        <v>-3899.1522953244857</v>
      </c>
      <c r="G80" s="15">
        <f>G34+G36+G38+G39+SUM(G41:G45)+G48+G49+G51</f>
        <v>-12455.119231732562</v>
      </c>
    </row>
    <row r="81" spans="4:9" x14ac:dyDescent="0.25">
      <c r="D81" s="11"/>
      <c r="E81" s="11"/>
      <c r="F81" s="11"/>
      <c r="G81" s="11"/>
    </row>
    <row r="82" spans="4:9" x14ac:dyDescent="0.25">
      <c r="D82" s="17" t="s">
        <v>62</v>
      </c>
      <c r="E82" s="20">
        <f>FV(investment_pct,years,0,-(inv_amt),1)-(inv_amt)</f>
        <v>11821245.149128119</v>
      </c>
      <c r="F82" s="20">
        <f>FV(investment_pct,years,0,-(inv_amt),1)-(inv_amt)</f>
        <v>36187.5</v>
      </c>
      <c r="G82" s="20">
        <f>FV(investment_pct,years,0,-(inv_amt),1)-(inv_amt)</f>
        <v>39004.5</v>
      </c>
    </row>
    <row r="83" spans="4:9" x14ac:dyDescent="0.25">
      <c r="D83" s="17" t="s">
        <v>61</v>
      </c>
      <c r="E83" s="16">
        <f>E82*(1-tax_capital_pct)</f>
        <v>10048058.376758901</v>
      </c>
      <c r="F83" s="16">
        <f>F82*(1-tax_capital_pct)</f>
        <v>30759.375</v>
      </c>
      <c r="G83" s="16">
        <f>G82*(1-tax_capital_pct)</f>
        <v>33153.824999999997</v>
      </c>
    </row>
    <row r="84" spans="4:9" x14ac:dyDescent="0.25">
      <c r="D84" s="17" t="s">
        <v>41</v>
      </c>
      <c r="E84" s="16">
        <f>available_cash+E83-E80</f>
        <v>13264589.877005391</v>
      </c>
      <c r="F84" s="16">
        <f>available_cash+F83-F80</f>
        <v>1434658.5272953245</v>
      </c>
      <c r="G84" s="16">
        <f>available_cash+G83-G80</f>
        <v>1445608.9442317325</v>
      </c>
      <c r="H84" s="6"/>
      <c r="I84" s="3"/>
    </row>
    <row r="85" spans="4:9" x14ac:dyDescent="0.25">
      <c r="D85" s="11"/>
      <c r="E85" s="11"/>
      <c r="F85" s="11"/>
    </row>
    <row r="86" spans="4:9" x14ac:dyDescent="0.25">
      <c r="D86" s="11"/>
      <c r="E86" s="11"/>
      <c r="F86" s="11"/>
    </row>
    <row r="87" spans="4:9" x14ac:dyDescent="0.25">
      <c r="E87" s="3"/>
      <c r="H87" s="6"/>
      <c r="I87" s="6"/>
    </row>
    <row r="88" spans="4:9" x14ac:dyDescent="0.25">
      <c r="E88" s="3"/>
    </row>
    <row r="89" spans="4:9" x14ac:dyDescent="0.25">
      <c r="E89" s="3"/>
    </row>
    <row r="90" spans="4:9" x14ac:dyDescent="0.25">
      <c r="E90" s="3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F1:M10"/>
  <sheetViews>
    <sheetView topLeftCell="A2" workbookViewId="0">
      <selection activeCell="K4" sqref="K4"/>
    </sheetView>
  </sheetViews>
  <sheetFormatPr defaultRowHeight="15" x14ac:dyDescent="0.25"/>
  <cols>
    <col min="6" max="6" width="10.85546875" bestFit="1" customWidth="1"/>
    <col min="7" max="7" width="10.85546875" customWidth="1"/>
    <col min="11" max="11" width="15.5703125" bestFit="1" customWidth="1"/>
    <col min="12" max="12" width="11.5703125" customWidth="1"/>
    <col min="13" max="13" width="10.85546875" customWidth="1"/>
  </cols>
  <sheetData>
    <row r="1" spans="6:13" x14ac:dyDescent="0.25">
      <c r="F1" t="s">
        <v>36</v>
      </c>
      <c r="H1" t="s">
        <v>35</v>
      </c>
      <c r="I1" t="s">
        <v>37</v>
      </c>
      <c r="J1" t="s">
        <v>38</v>
      </c>
    </row>
    <row r="3" spans="6:13" x14ac:dyDescent="0.25">
      <c r="F3">
        <v>10000</v>
      </c>
      <c r="G3">
        <f>F3+G2</f>
        <v>10000</v>
      </c>
      <c r="H3" s="7">
        <v>0.1</v>
      </c>
      <c r="I3">
        <v>1</v>
      </c>
      <c r="J3">
        <v>0.85</v>
      </c>
      <c r="K3" s="6">
        <f>FV(H3,1,-G3,0,1)</f>
        <v>11000.000000000009</v>
      </c>
      <c r="L3" s="6">
        <f>K3-F3</f>
        <v>1000.0000000000091</v>
      </c>
      <c r="M3" s="6">
        <f>L3*0.85</f>
        <v>850.00000000000773</v>
      </c>
    </row>
    <row r="4" spans="6:13" x14ac:dyDescent="0.25">
      <c r="F4" s="6">
        <v>10000</v>
      </c>
      <c r="G4" s="6">
        <f>F4+G3+M3</f>
        <v>20850.000000000007</v>
      </c>
      <c r="H4" s="7">
        <v>0.1</v>
      </c>
      <c r="I4">
        <v>1</v>
      </c>
      <c r="J4">
        <v>0.85</v>
      </c>
      <c r="K4" s="6">
        <f>FV(H4,1,-G4,0,1)</f>
        <v>22935.000000000029</v>
      </c>
      <c r="L4" s="6">
        <f>K4-G4</f>
        <v>2085.0000000000218</v>
      </c>
      <c r="M4" s="6">
        <f>L4*0.85</f>
        <v>1772.2500000000184</v>
      </c>
    </row>
    <row r="5" spans="6:13" x14ac:dyDescent="0.25">
      <c r="F5" s="6">
        <v>10000</v>
      </c>
      <c r="G5" s="6">
        <f>F5+G4+M4</f>
        <v>32622.250000000025</v>
      </c>
      <c r="H5" s="7">
        <v>0.1</v>
      </c>
      <c r="I5">
        <v>1</v>
      </c>
      <c r="J5">
        <v>0.85</v>
      </c>
      <c r="K5" s="6">
        <f>FV(H5,1,-G5,0,1)</f>
        <v>35884.475000000057</v>
      </c>
      <c r="L5" s="6">
        <f>K5-G5</f>
        <v>3262.2250000000313</v>
      </c>
      <c r="M5" s="6">
        <f>L5*0.85</f>
        <v>2772.8912500000265</v>
      </c>
    </row>
    <row r="10" spans="6:13" x14ac:dyDescent="0.25">
      <c r="M10" s="6">
        <f>SUM(M3:M5)</f>
        <v>5395.1412500000533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D1:G7"/>
  <sheetViews>
    <sheetView workbookViewId="0">
      <selection activeCell="F8" sqref="F8"/>
    </sheetView>
  </sheetViews>
  <sheetFormatPr defaultRowHeight="15" x14ac:dyDescent="0.25"/>
  <cols>
    <col min="5" max="5" width="14" customWidth="1"/>
    <col min="6" max="6" width="12.5703125" customWidth="1"/>
  </cols>
  <sheetData>
    <row r="1" spans="4:7" x14ac:dyDescent="0.25">
      <c r="D1" t="s">
        <v>56</v>
      </c>
      <c r="E1" t="s">
        <v>58</v>
      </c>
      <c r="F1" t="s">
        <v>57</v>
      </c>
      <c r="G1" t="s">
        <v>59</v>
      </c>
    </row>
    <row r="2" spans="4:7" x14ac:dyDescent="0.25">
      <c r="E2">
        <v>-500000</v>
      </c>
      <c r="F2">
        <v>500000</v>
      </c>
    </row>
    <row r="3" spans="4:7" x14ac:dyDescent="0.25">
      <c r="D3">
        <v>-250000</v>
      </c>
      <c r="F3">
        <v>250000</v>
      </c>
    </row>
    <row r="4" spans="4:7" x14ac:dyDescent="0.25">
      <c r="D4">
        <v>-1000000</v>
      </c>
      <c r="G4">
        <v>1000000</v>
      </c>
    </row>
    <row r="5" spans="4:7" x14ac:dyDescent="0.25">
      <c r="D5">
        <v>60000</v>
      </c>
      <c r="G5">
        <v>-60000</v>
      </c>
    </row>
    <row r="6" spans="4:7" x14ac:dyDescent="0.25">
      <c r="D6">
        <v>1000000</v>
      </c>
      <c r="G6">
        <v>-1000000</v>
      </c>
    </row>
    <row r="7" spans="4:7" x14ac:dyDescent="0.25">
      <c r="D7">
        <v>-200000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26</vt:i4>
      </vt:variant>
    </vt:vector>
  </HeadingPairs>
  <TitlesOfParts>
    <vt:vector size="29" baseType="lpstr">
      <vt:lpstr>Sheet1</vt:lpstr>
      <vt:lpstr>Sheet2</vt:lpstr>
      <vt:lpstr>Sheet3</vt:lpstr>
      <vt:lpstr>additional_util_amt</vt:lpstr>
      <vt:lpstr>appreciation_pct</vt:lpstr>
      <vt:lpstr>available_cash</vt:lpstr>
      <vt:lpstr>buying_cost</vt:lpstr>
      <vt:lpstr>down_pct</vt:lpstr>
      <vt:lpstr>exclusion_amt</vt:lpstr>
      <vt:lpstr>gains_pct</vt:lpstr>
      <vt:lpstr>home_amt</vt:lpstr>
      <vt:lpstr>house_appreciation</vt:lpstr>
      <vt:lpstr>Inflation_pct</vt:lpstr>
      <vt:lpstr>insurance_pct</vt:lpstr>
      <vt:lpstr>inv_amt</vt:lpstr>
      <vt:lpstr>investment_pct</vt:lpstr>
      <vt:lpstr>maintenance_pct</vt:lpstr>
      <vt:lpstr>monthly_utilities_amt</vt:lpstr>
      <vt:lpstr>mortgage_length</vt:lpstr>
      <vt:lpstr>mortgage_pct</vt:lpstr>
      <vt:lpstr>ortgage_pct</vt:lpstr>
      <vt:lpstr>proceeds</vt:lpstr>
      <vt:lpstr>property_tax_pct</vt:lpstr>
      <vt:lpstr>renovation_pct</vt:lpstr>
      <vt:lpstr>rent_amt</vt:lpstr>
      <vt:lpstr>selling_cost</vt:lpstr>
      <vt:lpstr>tax_capital_pct</vt:lpstr>
      <vt:lpstr>tax_pct</vt:lpstr>
      <vt:lpstr>years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Craig</dc:creator>
  <cp:lastModifiedBy>Craig</cp:lastModifiedBy>
  <dcterms:created xsi:type="dcterms:W3CDTF">2014-04-11T19:04:24Z</dcterms:created>
  <dcterms:modified xsi:type="dcterms:W3CDTF">2020-05-16T10:08:55Z</dcterms:modified>
</cp:coreProperties>
</file>