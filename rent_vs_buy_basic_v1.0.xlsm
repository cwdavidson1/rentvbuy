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480" yWindow="0" windowWidth="8685" windowHeight="0"/>
  </bookViews>
  <sheets>
    <sheet name="rentvsbuy" sheetId="4" r:id="rId1"/>
  </sheets>
  <functionGroups builtInGroupCount="18"/>
  <definedNames>
    <definedName name="additional_util_amt" localSheetId="0">rentvsbuy!$B$37</definedName>
    <definedName name="appreciation_pct" localSheetId="0">rentvsbuy!$B$18</definedName>
    <definedName name="buying_cost" localSheetId="0">rentvsbuy!$B$30</definedName>
    <definedName name="Capital_Gains_Deduction" localSheetId="0">rentvsbuy!$B$27</definedName>
    <definedName name="capital_gains_rate" localSheetId="0">rentvsbuy!$B$26</definedName>
    <definedName name="condo_deduct_percent" localSheetId="0">rentvsbuy!$B$39</definedName>
    <definedName name="Condo_Fee" localSheetId="0">rentvsbuy!$B$38</definedName>
    <definedName name="down_pct" localSheetId="0">rentvsbuy!$B$8</definedName>
    <definedName name="house_appreciation" localSheetId="0">rentvsbuy!$B$18</definedName>
    <definedName name="Inflation_pct" localSheetId="0">rentvsbuy!$B$21</definedName>
    <definedName name="insurance_pct" localSheetId="0">rentvsbuy!$B$36</definedName>
    <definedName name="maintenance_pct" localSheetId="0">rentvsbuy!$B$35</definedName>
    <definedName name="marginal_tax_rate" localSheetId="0">rentvsbuy!$B$25</definedName>
    <definedName name="Monthly_Rent" localSheetId="0">rentvsbuy!$B$12</definedName>
    <definedName name="monthly_utilities_amt" localSheetId="0">rentvsbuy!$B$37</definedName>
    <definedName name="mortgage_length" localSheetId="0">rentvsbuy!$B$9</definedName>
    <definedName name="mortgage_pct" localSheetId="0">rentvsbuy!$B$7</definedName>
    <definedName name="proceeds" localSheetId="0">rentvsbuy!$B$85</definedName>
    <definedName name="property_tax_pct" localSheetId="0">rentvsbuy!$B$24</definedName>
    <definedName name="purchase_price" localSheetId="0">rentvsbuy!$B$3</definedName>
    <definedName name="renovation_pct" localSheetId="0">rentvsbuy!$B$34</definedName>
    <definedName name="Rent_Brokers_Fee" localSheetId="0">rentvsbuy!$B$14</definedName>
    <definedName name="Rent_Deposit" localSheetId="0">rentvsbuy!$B$13</definedName>
    <definedName name="Rent_Inflation_Rate" localSheetId="0">rentvsbuy!$B$19</definedName>
    <definedName name="Renters_Insurance_Rate" localSheetId="0">rentvsbuy!$B$15</definedName>
    <definedName name="return_on_investments_rate" localSheetId="0">rentvsbuy!$B$20</definedName>
    <definedName name="selling_cost" localSheetId="0">rentvsbuy!$B$31</definedName>
    <definedName name="years_owned" localSheetId="0">rentvsbuy!$B$4</definedName>
  </definedNames>
  <calcPr calcId="152511"/>
</workbook>
</file>

<file path=xl/calcChain.xml><?xml version="1.0" encoding="utf-8"?>
<calcChain xmlns="http://schemas.openxmlformats.org/spreadsheetml/2006/main">
  <c r="B62" i="4" l="1"/>
  <c r="B61" i="4"/>
  <c r="B70" i="4"/>
  <c r="B76" i="4"/>
  <c r="B71" i="4"/>
  <c r="B75" i="4"/>
  <c r="B68" i="4" l="1"/>
  <c r="B45" i="4"/>
  <c r="B73" i="4"/>
  <c r="B49" i="4" l="1"/>
  <c r="B52" i="4" s="1"/>
  <c r="B53" i="4" s="1"/>
  <c r="B57" i="4"/>
  <c r="B56" i="4"/>
  <c r="B72" i="4"/>
  <c r="B74" i="4"/>
  <c r="B69" i="4"/>
  <c r="B43" i="4" l="1"/>
  <c r="B58" i="4"/>
  <c r="B59" i="4"/>
  <c r="B60" i="4"/>
  <c r="B63" i="4"/>
  <c r="B64" i="4" l="1"/>
  <c r="B67" i="4"/>
  <c r="B77" i="4" s="1"/>
  <c r="G4" i="4" s="1"/>
  <c r="B46" i="4"/>
  <c r="G3" i="4"/>
  <c r="B50" i="4"/>
  <c r="B44" i="4"/>
  <c r="B51" i="4" s="1"/>
  <c r="G17" i="4"/>
  <c r="G18" i="4" s="1"/>
  <c r="C36" i="4"/>
  <c r="C35" i="4"/>
  <c r="C34" i="4"/>
  <c r="C31" i="4"/>
  <c r="C30" i="4"/>
  <c r="C24" i="4"/>
  <c r="F5" i="4"/>
  <c r="G2" i="4"/>
  <c r="B14" i="4"/>
  <c r="C8" i="4"/>
  <c r="F3" i="4"/>
  <c r="F4" i="4"/>
  <c r="F2" i="4" l="1"/>
  <c r="G5" i="4"/>
  <c r="G19" i="4"/>
  <c r="F6" i="4"/>
  <c r="G6" i="4" l="1"/>
  <c r="H7" i="4" s="1"/>
  <c r="H6" i="4" l="1"/>
</calcChain>
</file>

<file path=xl/sharedStrings.xml><?xml version="1.0" encoding="utf-8"?>
<sst xmlns="http://schemas.openxmlformats.org/spreadsheetml/2006/main" count="78" uniqueCount="71">
  <si>
    <t>Down Payment</t>
  </si>
  <si>
    <t>Mortgage Rate</t>
  </si>
  <si>
    <t>Financed Loan Value</t>
  </si>
  <si>
    <t>Home Purchase Price</t>
  </si>
  <si>
    <t>How Many Years Do You Plan to Stay?</t>
  </si>
  <si>
    <t>Mortgage Details</t>
  </si>
  <si>
    <t>Assumptions About The Future</t>
  </si>
  <si>
    <t>Tax Situation</t>
  </si>
  <si>
    <t>Housing Transaction Costs</t>
  </si>
  <si>
    <t>Other House Costs</t>
  </si>
  <si>
    <t>Monthly Rent</t>
  </si>
  <si>
    <t>Mortgage Interest Paid</t>
  </si>
  <si>
    <t>Initial Costs</t>
  </si>
  <si>
    <t>Recurring Costs</t>
  </si>
  <si>
    <t>Opportunity Costs</t>
  </si>
  <si>
    <t>Net Proceeds</t>
  </si>
  <si>
    <t>Buying Closing costs</t>
  </si>
  <si>
    <t>Mortgage Starting Information</t>
  </si>
  <si>
    <t>Mortgage Principal Paid</t>
  </si>
  <si>
    <t>Annual Home Price Appreciation Rate</t>
  </si>
  <si>
    <t>Annual Rent Rate Increase</t>
  </si>
  <si>
    <t>Mortgage Down Payment Percent</t>
  </si>
  <si>
    <t>Mortgage Length in Years</t>
  </si>
  <si>
    <t>Annual Nominal Return on Investments</t>
  </si>
  <si>
    <t>Annual Inflation Rate</t>
  </si>
  <si>
    <t>Annual Property Tax Rate</t>
  </si>
  <si>
    <t>Marginal Tax Rate</t>
  </si>
  <si>
    <t>Cost of Buying House as Percent of Purchase Price</t>
  </si>
  <si>
    <t>Cost of Selling House As Percent of Selling Price</t>
  </si>
  <si>
    <t>Home Owners Insurance Rate As Percentage of Purchase Price</t>
  </si>
  <si>
    <t>Additional Monthly Utilities Compared to Renting</t>
  </si>
  <si>
    <t>Rent Deposit</t>
  </si>
  <si>
    <t>Rent Brokers fee</t>
  </si>
  <si>
    <t>Renting Costs</t>
  </si>
  <si>
    <t>Renters Insurance Rate</t>
  </si>
  <si>
    <t>Home Purchase Info</t>
  </si>
  <si>
    <t>Total Spent</t>
  </si>
  <si>
    <t>Inputs</t>
  </si>
  <si>
    <t xml:space="preserve">Annual Renovation Costs As Percentage of Purchase Price </t>
  </si>
  <si>
    <t>Annual Maintenance  Costs As Percentage of Purchase Price</t>
  </si>
  <si>
    <t>Tax Rate On Investments</t>
  </si>
  <si>
    <t>Mortgage Amount</t>
  </si>
  <si>
    <t>Monthly PITI</t>
  </si>
  <si>
    <t>Total Opportunity Costs of Buying</t>
  </si>
  <si>
    <t>Appreciated Home Price</t>
  </si>
  <si>
    <t>Closing Cost Expense</t>
  </si>
  <si>
    <t>Mortgage Payoff Expense</t>
  </si>
  <si>
    <t>Common fee</t>
  </si>
  <si>
    <t>Property tax</t>
  </si>
  <si>
    <t>Utilities</t>
  </si>
  <si>
    <t>Renovations</t>
  </si>
  <si>
    <t>Maintenance</t>
  </si>
  <si>
    <t>Homeowners Insurance</t>
  </si>
  <si>
    <t>Renovation</t>
  </si>
  <si>
    <t>Insurance</t>
  </si>
  <si>
    <t>Mortgage Interest</t>
  </si>
  <si>
    <t>Mortgage Principal</t>
  </si>
  <si>
    <t>Property Tax</t>
  </si>
  <si>
    <t>Rent</t>
  </si>
  <si>
    <t>Buy</t>
  </si>
  <si>
    <t>Closing Costs</t>
  </si>
  <si>
    <t>Capital Gains Deduction</t>
  </si>
  <si>
    <t>Common Fee</t>
  </si>
  <si>
    <t>Capital Gains Tax</t>
  </si>
  <si>
    <t>Gross Profit</t>
  </si>
  <si>
    <t>Percent of Common Fee That Is Deductable</t>
  </si>
  <si>
    <t>Tota Direct Costs of Buying</t>
  </si>
  <si>
    <t>Recurring Direct Costs</t>
  </si>
  <si>
    <t>Profit/Loss</t>
  </si>
  <si>
    <t>Input Results</t>
  </si>
  <si>
    <t>Mortgage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</si>
</sst>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164" formatCode="0.000%"/>
    <numFmt numFmtId="165" formatCode="&quot;$&quot;#,##0"/>
    <numFmt numFmtId="166" formatCode="&quot;$&quot;#,##0.00"/>
    <numFmt numFmtId="167" formatCode="&quot;$&quot;#,##0.000_);[Red]\(&quot;$&quot;#,##0.000\)"/>
    <numFmt numFmtId="168" formatCode="0.000"/>
  </numFmts>
  <fonts count="8" x14ac:knownFonts="1"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6"/>
      <color theme="3" tint="0.39997558519241921"/>
      <name val="Franklin Gothic Book"/>
      <family val="2"/>
      <scheme val="minor"/>
    </font>
    <font>
      <b/>
      <sz val="16"/>
      <color theme="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20"/>
      <color theme="1"/>
      <name val="Franklin Gothic Book"/>
      <family val="2"/>
      <scheme val="minor"/>
    </font>
    <font>
      <i/>
      <sz val="16"/>
      <color theme="1"/>
      <name val="Franklin Gothic Book"/>
      <family val="2"/>
      <scheme val="minor"/>
    </font>
    <font>
      <b/>
      <i/>
      <sz val="16"/>
      <color theme="1"/>
      <name val="Franklin Gothic Book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mediumGray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1">
    <xf numFmtId="0" fontId="0" fillId="0" borderId="0" xfId="0"/>
    <xf numFmtId="166" fontId="0" fillId="0" borderId="0" xfId="0" applyNumberFormat="1"/>
    <xf numFmtId="8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3" borderId="0" xfId="0" applyFill="1"/>
    <xf numFmtId="167" fontId="0" fillId="0" borderId="0" xfId="0" applyNumberFormat="1"/>
    <xf numFmtId="168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0" fontId="3" fillId="0" borderId="0" xfId="0" applyFont="1"/>
    <xf numFmtId="10" fontId="4" fillId="0" borderId="0" xfId="0" applyNumberFormat="1" applyFont="1"/>
    <xf numFmtId="165" fontId="4" fillId="0" borderId="0" xfId="0" applyNumberFormat="1" applyFont="1" applyAlignment="1">
      <alignment horizontal="right"/>
    </xf>
    <xf numFmtId="0" fontId="4" fillId="0" borderId="0" xfId="0" applyFont="1"/>
    <xf numFmtId="164" fontId="4" fillId="0" borderId="0" xfId="0" applyNumberFormat="1" applyFont="1"/>
    <xf numFmtId="165" fontId="4" fillId="2" borderId="0" xfId="0" applyNumberFormat="1" applyFont="1" applyFill="1"/>
    <xf numFmtId="0" fontId="4" fillId="2" borderId="0" xfId="0" applyFont="1" applyFill="1"/>
    <xf numFmtId="166" fontId="4" fillId="2" borderId="0" xfId="0" applyNumberFormat="1" applyFont="1" applyFill="1"/>
    <xf numFmtId="0" fontId="4" fillId="0" borderId="0" xfId="0" applyFont="1" applyFill="1"/>
    <xf numFmtId="166" fontId="4" fillId="0" borderId="0" xfId="0" applyNumberFormat="1" applyFont="1" applyFill="1"/>
    <xf numFmtId="0" fontId="3" fillId="0" borderId="0" xfId="0" applyFont="1" applyFill="1" applyAlignment="1">
      <alignment horizontal="right"/>
    </xf>
    <xf numFmtId="165" fontId="3" fillId="0" borderId="0" xfId="0" applyNumberFormat="1" applyFont="1" applyFill="1"/>
    <xf numFmtId="165" fontId="4" fillId="0" borderId="0" xfId="0" applyNumberFormat="1" applyFont="1" applyFill="1"/>
    <xf numFmtId="0" fontId="3" fillId="0" borderId="0" xfId="0" applyFont="1" applyFill="1"/>
    <xf numFmtId="0" fontId="5" fillId="0" borderId="0" xfId="0" applyFont="1" applyFill="1"/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right"/>
    </xf>
    <xf numFmtId="6" fontId="4" fillId="0" borderId="0" xfId="0" applyNumberFormat="1" applyFont="1" applyFill="1"/>
    <xf numFmtId="6" fontId="3" fillId="0" borderId="1" xfId="1" applyNumberFormat="1" applyFont="1" applyFill="1"/>
    <xf numFmtId="0" fontId="6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64" fontId="4" fillId="0" borderId="0" xfId="0" applyNumberFormat="1" applyFont="1" applyFill="1"/>
    <xf numFmtId="10" fontId="4" fillId="0" borderId="0" xfId="0" applyNumberFormat="1" applyFont="1" applyFill="1"/>
    <xf numFmtId="0" fontId="6" fillId="0" borderId="0" xfId="0" applyFont="1" applyFill="1" applyAlignment="1">
      <alignment horizontal="right"/>
    </xf>
    <xf numFmtId="8" fontId="4" fillId="0" borderId="0" xfId="0" applyNumberFormat="1" applyFont="1"/>
    <xf numFmtId="165" fontId="4" fillId="0" borderId="0" xfId="0" applyNumberFormat="1" applyFont="1" applyFill="1" applyAlignment="1">
      <alignment horizontal="right"/>
    </xf>
    <xf numFmtId="165" fontId="2" fillId="0" borderId="0" xfId="0" applyNumberFormat="1" applyFont="1" applyFill="1" applyAlignment="1">
      <alignment horizontal="center"/>
    </xf>
    <xf numFmtId="165" fontId="3" fillId="0" borderId="1" xfId="1" applyNumberFormat="1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6" fontId="3" fillId="0" borderId="1" xfId="1" applyNumberFormat="1" applyFont="1" applyFill="1" applyAlignment="1">
      <alignment horizontal="center"/>
    </xf>
    <xf numFmtId="6" fontId="4" fillId="0" borderId="0" xfId="0" applyNumberFormat="1" applyFont="1" applyFill="1" applyBorder="1"/>
    <xf numFmtId="0" fontId="2" fillId="0" borderId="0" xfId="0" applyFont="1" applyAlignment="1">
      <alignment horizontal="center"/>
    </xf>
    <xf numFmtId="6" fontId="4" fillId="0" borderId="0" xfId="0" applyNumberFormat="1" applyFont="1" applyFill="1" applyAlignment="1">
      <alignment horizontal="right"/>
    </xf>
    <xf numFmtId="6" fontId="4" fillId="0" borderId="2" xfId="0" applyNumberFormat="1" applyFont="1" applyFill="1" applyBorder="1"/>
    <xf numFmtId="6" fontId="3" fillId="0" borderId="1" xfId="1" applyNumberFormat="1" applyFont="1" applyFill="1" applyBorder="1"/>
    <xf numFmtId="0" fontId="2" fillId="0" borderId="0" xfId="0" applyFont="1" applyAlignment="1">
      <alignment horizontal="left"/>
    </xf>
  </cellXfs>
  <cellStyles count="2"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 Vs Buy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rentvsbuy!$F$1</c:f>
              <c:strCache>
                <c:ptCount val="1"/>
                <c:pt idx="0">
                  <c:v>Rent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rentvsbuy!$F$6</c:f>
              <c:numCache>
                <c:formatCode>"$"#,##0_);[Red]\("$"#,##0\)</c:formatCode>
                <c:ptCount val="1"/>
                <c:pt idx="0">
                  <c:v>2042445.0531197067</c:v>
                </c:pt>
              </c:numCache>
            </c:numRef>
          </c:val>
        </c:ser>
        <c:ser>
          <c:idx val="1"/>
          <c:order val="1"/>
          <c:tx>
            <c:strRef>
              <c:f>rentvsbuy!$G$1</c:f>
              <c:strCache>
                <c:ptCount val="1"/>
                <c:pt idx="0">
                  <c:v>Buy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rentvsbuy!$G$6</c:f>
              <c:numCache>
                <c:formatCode>"$"#,##0_);[Red]\("$"#,##0\)</c:formatCode>
                <c:ptCount val="1"/>
                <c:pt idx="0">
                  <c:v>1904123.418443996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674743680"/>
        <c:axId val="1096339304"/>
      </c:barChart>
      <c:catAx>
        <c:axId val="67474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339304"/>
        <c:crosses val="autoZero"/>
        <c:auto val="1"/>
        <c:lblAlgn val="ctr"/>
        <c:lblOffset val="100"/>
        <c:noMultiLvlLbl val="0"/>
      </c:catAx>
      <c:valAx>
        <c:axId val="1096339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1200151</xdr:colOff>
      <xdr:row>7</xdr:row>
      <xdr:rowOff>144531</xdr:rowOff>
    </xdr:from>
    <xdr:to>
      <xdr:col>8</xdr:col>
      <xdr:colOff>1</xdr:colOff>
      <xdr:row>14</xdr:row>
      <xdr:rowOff>134710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4"/>
  <sheetViews>
    <sheetView showGridLines="0" tabSelected="1" zoomScaleNormal="100" workbookViewId="0">
      <selection activeCell="G22" sqref="G22"/>
    </sheetView>
  </sheetViews>
  <sheetFormatPr defaultRowHeight="15.75" x14ac:dyDescent="0.3"/>
  <cols>
    <col min="1" max="1" width="56.5546875" customWidth="1"/>
    <col min="2" max="2" width="14.5546875" customWidth="1"/>
    <col min="3" max="3" width="17" customWidth="1"/>
    <col min="4" max="4" width="21.88671875" customWidth="1"/>
    <col min="5" max="5" width="5.6640625" customWidth="1"/>
    <col min="6" max="6" width="33.44140625" customWidth="1"/>
    <col min="7" max="7" width="16.33203125" customWidth="1"/>
    <col min="8" max="8" width="23.109375" customWidth="1"/>
    <col min="9" max="9" width="26.77734375" customWidth="1"/>
    <col min="10" max="10" width="11.33203125" customWidth="1"/>
    <col min="11" max="11" width="20.88671875" customWidth="1"/>
    <col min="12" max="12" width="22.33203125" customWidth="1"/>
    <col min="13" max="13" width="14.33203125" customWidth="1"/>
    <col min="16" max="16" width="51.109375" customWidth="1"/>
  </cols>
  <sheetData>
    <row r="1" spans="1:8" ht="27" x14ac:dyDescent="0.45">
      <c r="B1" s="43" t="s">
        <v>37</v>
      </c>
      <c r="C1" s="43" t="s">
        <v>69</v>
      </c>
      <c r="D1" s="43"/>
      <c r="E1" s="27"/>
      <c r="F1" s="42" t="s">
        <v>58</v>
      </c>
      <c r="G1" s="42" t="s">
        <v>59</v>
      </c>
      <c r="H1" s="28"/>
    </row>
    <row r="2" spans="1:8" ht="21" x14ac:dyDescent="0.35">
      <c r="A2" s="8" t="s">
        <v>35</v>
      </c>
      <c r="B2" s="9"/>
      <c r="C2" s="16"/>
      <c r="D2" s="16"/>
      <c r="E2" s="36" t="s">
        <v>12</v>
      </c>
      <c r="F2" s="30">
        <f>Rent_Deposit+Rent_Brokers_Fee</f>
        <v>2500</v>
      </c>
      <c r="G2" s="45">
        <f>(purchase_price*down_pct)+buying_cost*purchase_price</f>
        <v>367950</v>
      </c>
      <c r="H2" s="30"/>
    </row>
    <row r="3" spans="1:8" ht="21" x14ac:dyDescent="0.35">
      <c r="A3" s="32" t="s">
        <v>3</v>
      </c>
      <c r="B3" s="11">
        <v>1115000</v>
      </c>
      <c r="C3" s="11"/>
      <c r="D3" s="11"/>
      <c r="E3" s="36" t="s">
        <v>13</v>
      </c>
      <c r="F3" s="30">
        <f>rentalCosts(Monthly_Rent,Rent_Deposit,Renters_Insurance_Rate,Rent_Brokers_Fee,Rent_Inflation_Rate,return_on_investments_rate,capital_gains_rate,years_owned)</f>
        <v>1104715.708950757</v>
      </c>
      <c r="G3" s="45">
        <f>SUM(B56:B57)+SUM(B58:B63)</f>
        <v>1657315.4777595652</v>
      </c>
      <c r="H3" s="30"/>
    </row>
    <row r="4" spans="1:8" ht="21" x14ac:dyDescent="0.35">
      <c r="A4" s="32" t="s">
        <v>4</v>
      </c>
      <c r="B4" s="12">
        <v>25</v>
      </c>
      <c r="C4" s="12"/>
      <c r="D4" s="12"/>
      <c r="E4" s="36" t="s">
        <v>14</v>
      </c>
      <c r="F4" s="30">
        <f>rentalOpportunityCosts(Monthly_Rent,Rent_Deposit,Renters_Insurance_Rate,Rent_Brokers_Fee,Rent_Inflation_Rate,return_on_investments_rate,capital_gains_rate,years_owned)</f>
        <v>937729.34416894964</v>
      </c>
      <c r="G4" s="45">
        <f>B77</f>
        <v>2464090.7113663764</v>
      </c>
      <c r="H4" s="30"/>
    </row>
    <row r="5" spans="1:8" ht="21" x14ac:dyDescent="0.35">
      <c r="A5" s="13"/>
      <c r="B5" s="12"/>
      <c r="C5" s="16"/>
      <c r="D5" s="16"/>
      <c r="E5" s="36" t="s">
        <v>15</v>
      </c>
      <c r="F5" s="30">
        <f>Rent_Deposit * -1</f>
        <v>-2500</v>
      </c>
      <c r="G5" s="48">
        <f>(B49-(B50+B51+B53)) * -1</f>
        <v>-2585232.7706819461</v>
      </c>
    </row>
    <row r="6" spans="1:8" ht="21.75" thickBot="1" x14ac:dyDescent="0.4">
      <c r="A6" s="8" t="s">
        <v>5</v>
      </c>
      <c r="B6" s="12"/>
      <c r="C6" s="16"/>
      <c r="D6" s="16"/>
      <c r="E6" s="41" t="s">
        <v>36</v>
      </c>
      <c r="F6" s="31">
        <f>F2+F3+F4+F5</f>
        <v>2042445.0531197067</v>
      </c>
      <c r="G6" s="49">
        <f>G2+G3+G4+G5</f>
        <v>1904123.418443996</v>
      </c>
      <c r="H6" s="44">
        <f>ABS(F6-G6)</f>
        <v>138321.63467571069</v>
      </c>
    </row>
    <row r="7" spans="1:8" ht="21.75" thickTop="1" x14ac:dyDescent="0.35">
      <c r="A7" s="32" t="s">
        <v>1</v>
      </c>
      <c r="B7" s="14">
        <v>0.03</v>
      </c>
      <c r="C7" s="16"/>
      <c r="D7" s="16"/>
      <c r="H7" s="50" t="str">
        <f>IF(G6&lt;F6,"Buying Is Cheaper",IF(G6=F6,"Buying Equals Renting","Renting Is Cheaper "))</f>
        <v>Buying Is Cheaper</v>
      </c>
    </row>
    <row r="8" spans="1:8" ht="21" x14ac:dyDescent="0.35">
      <c r="A8" s="32" t="s">
        <v>21</v>
      </c>
      <c r="B8" s="14">
        <v>0.3</v>
      </c>
      <c r="C8" s="11">
        <f>purchase_price*down_pct</f>
        <v>334500</v>
      </c>
      <c r="D8" s="11"/>
    </row>
    <row r="9" spans="1:8" ht="21" x14ac:dyDescent="0.35">
      <c r="A9" s="32" t="s">
        <v>22</v>
      </c>
      <c r="B9" s="12">
        <v>30</v>
      </c>
      <c r="C9" s="16"/>
      <c r="D9" s="16"/>
    </row>
    <row r="10" spans="1:8" ht="21" x14ac:dyDescent="0.35">
      <c r="A10" s="10"/>
      <c r="B10" s="12"/>
      <c r="C10" s="16"/>
      <c r="D10" s="16"/>
    </row>
    <row r="11" spans="1:8" ht="21" x14ac:dyDescent="0.35">
      <c r="A11" s="8" t="s">
        <v>33</v>
      </c>
      <c r="B11" s="14"/>
      <c r="C11" s="16"/>
      <c r="D11" s="16"/>
      <c r="E11" s="29"/>
    </row>
    <row r="12" spans="1:8" ht="21" x14ac:dyDescent="0.35">
      <c r="A12" s="32" t="s">
        <v>10</v>
      </c>
      <c r="B12" s="11">
        <v>2500</v>
      </c>
      <c r="C12" s="16"/>
      <c r="D12" s="16"/>
    </row>
    <row r="13" spans="1:8" ht="21" x14ac:dyDescent="0.35">
      <c r="A13" s="32" t="s">
        <v>31</v>
      </c>
      <c r="B13" s="11">
        <v>2500</v>
      </c>
      <c r="C13" s="16"/>
      <c r="D13" s="16"/>
    </row>
    <row r="14" spans="1:8" ht="21" x14ac:dyDescent="0.35">
      <c r="A14" s="32" t="s">
        <v>32</v>
      </c>
      <c r="B14" s="11">
        <f>0</f>
        <v>0</v>
      </c>
      <c r="C14" s="14"/>
      <c r="D14" s="14"/>
    </row>
    <row r="15" spans="1:8" ht="21" x14ac:dyDescent="0.35">
      <c r="A15" s="32" t="s">
        <v>34</v>
      </c>
      <c r="B15" s="14">
        <v>0.01</v>
      </c>
      <c r="C15" s="14"/>
      <c r="D15" s="14"/>
    </row>
    <row r="16" spans="1:8" ht="21" x14ac:dyDescent="0.35">
      <c r="A16" s="32"/>
      <c r="B16" s="14"/>
      <c r="C16" s="14"/>
      <c r="D16" s="14"/>
      <c r="F16" s="46" t="s">
        <v>70</v>
      </c>
      <c r="G16" s="46"/>
      <c r="H16" s="46"/>
    </row>
    <row r="17" spans="1:12" ht="21" x14ac:dyDescent="0.35">
      <c r="A17" s="8" t="s">
        <v>6</v>
      </c>
      <c r="B17" s="12"/>
      <c r="C17" s="16"/>
      <c r="D17" s="16"/>
      <c r="F17" s="36" t="s">
        <v>0</v>
      </c>
      <c r="G17" s="47">
        <f>rentvsbuy!purchase_price*rentvsbuy!down_pct</f>
        <v>334500</v>
      </c>
    </row>
    <row r="18" spans="1:12" ht="21" x14ac:dyDescent="0.35">
      <c r="A18" s="32" t="s">
        <v>19</v>
      </c>
      <c r="B18" s="14">
        <v>4.2000000000000003E-2</v>
      </c>
      <c r="C18" s="16"/>
      <c r="D18" s="16"/>
      <c r="F18" s="36" t="s">
        <v>41</v>
      </c>
      <c r="G18" s="47">
        <f>rentvsbuy!purchase_price-G17</f>
        <v>780500</v>
      </c>
    </row>
    <row r="19" spans="1:12" ht="21" x14ac:dyDescent="0.35">
      <c r="A19" s="32" t="s">
        <v>20</v>
      </c>
      <c r="B19" s="14">
        <v>0.03</v>
      </c>
      <c r="C19" s="14"/>
      <c r="D19" s="14"/>
      <c r="F19" s="36" t="s">
        <v>42</v>
      </c>
      <c r="G19" s="47">
        <f>-PMT(rentvsbuy!mortgage_pct/12,(rentvsbuy!mortgage_length*12),G18,0)+(C24/12)+C36/12</f>
        <v>4312.7028165916936</v>
      </c>
    </row>
    <row r="20" spans="1:12" ht="21" x14ac:dyDescent="0.35">
      <c r="A20" s="32" t="s">
        <v>23</v>
      </c>
      <c r="B20" s="14">
        <v>6.25E-2</v>
      </c>
      <c r="C20" s="14"/>
      <c r="D20" s="14"/>
      <c r="F20" s="30"/>
      <c r="G20" s="30"/>
    </row>
    <row r="21" spans="1:12" ht="21" x14ac:dyDescent="0.35">
      <c r="A21" s="32" t="s">
        <v>24</v>
      </c>
      <c r="B21" s="14">
        <v>0.03</v>
      </c>
      <c r="C21" s="14"/>
      <c r="D21" s="14"/>
    </row>
    <row r="22" spans="1:12" ht="21" x14ac:dyDescent="0.35">
      <c r="A22" s="10"/>
      <c r="B22" s="12"/>
      <c r="C22" s="16"/>
      <c r="D22" s="16"/>
    </row>
    <row r="23" spans="1:12" ht="21" x14ac:dyDescent="0.35">
      <c r="A23" s="8" t="s">
        <v>7</v>
      </c>
      <c r="B23" s="12"/>
      <c r="C23" s="16"/>
      <c r="D23" s="16"/>
    </row>
    <row r="24" spans="1:12" ht="21" x14ac:dyDescent="0.35">
      <c r="A24" s="32" t="s">
        <v>25</v>
      </c>
      <c r="B24" s="35">
        <v>8.9999999999999993E-3</v>
      </c>
      <c r="C24" s="11">
        <f>purchase_price*property_tax_pct</f>
        <v>10035</v>
      </c>
      <c r="D24" s="11"/>
    </row>
    <row r="25" spans="1:12" ht="21" x14ac:dyDescent="0.35">
      <c r="A25" s="32" t="s">
        <v>26</v>
      </c>
      <c r="B25" s="14">
        <v>0.2</v>
      </c>
      <c r="C25" s="14"/>
      <c r="D25" s="14"/>
      <c r="F25" s="30"/>
      <c r="G25" s="30"/>
      <c r="H25" s="7"/>
      <c r="J25" s="2"/>
      <c r="K25" s="2"/>
      <c r="L25" s="2"/>
    </row>
    <row r="26" spans="1:12" ht="21" x14ac:dyDescent="0.35">
      <c r="A26" s="32" t="s">
        <v>40</v>
      </c>
      <c r="B26" s="14">
        <v>0.15</v>
      </c>
      <c r="C26" s="14"/>
      <c r="D26" s="14"/>
      <c r="F26" s="30"/>
      <c r="G26" s="30"/>
      <c r="H26" s="7"/>
      <c r="J26" s="2"/>
      <c r="K26" s="2"/>
      <c r="L26" s="2"/>
    </row>
    <row r="27" spans="1:12" ht="21" x14ac:dyDescent="0.35">
      <c r="A27" s="32" t="s">
        <v>61</v>
      </c>
      <c r="B27" s="11">
        <v>500000</v>
      </c>
      <c r="C27" s="14"/>
      <c r="D27" s="14"/>
      <c r="F27" s="30"/>
      <c r="G27" s="30"/>
      <c r="H27" s="7"/>
      <c r="J27" s="2"/>
      <c r="K27" s="2"/>
      <c r="L27" s="2"/>
    </row>
    <row r="28" spans="1:12" ht="21" x14ac:dyDescent="0.35">
      <c r="A28" s="10"/>
      <c r="B28" s="14"/>
      <c r="C28" s="16"/>
      <c r="D28" s="16"/>
      <c r="H28" s="7"/>
      <c r="J28" s="2"/>
      <c r="K28" s="2"/>
      <c r="L28" s="2"/>
    </row>
    <row r="29" spans="1:12" ht="21" x14ac:dyDescent="0.35">
      <c r="A29" s="8" t="s">
        <v>8</v>
      </c>
      <c r="B29" s="14"/>
      <c r="C29" s="16"/>
      <c r="D29" s="16"/>
      <c r="H29" s="7"/>
      <c r="J29" s="2"/>
      <c r="K29" s="2"/>
      <c r="L29" s="2"/>
    </row>
    <row r="30" spans="1:12" ht="21" x14ac:dyDescent="0.35">
      <c r="A30" s="32" t="s">
        <v>27</v>
      </c>
      <c r="B30" s="35">
        <v>0.03</v>
      </c>
      <c r="C30" s="11">
        <f>purchase_price*buying_cost</f>
        <v>33450</v>
      </c>
      <c r="D30" s="11"/>
      <c r="K30" s="6"/>
    </row>
    <row r="31" spans="1:12" ht="21" x14ac:dyDescent="0.35">
      <c r="A31" s="32" t="s">
        <v>28</v>
      </c>
      <c r="B31" s="35">
        <v>0.04</v>
      </c>
      <c r="C31" s="11">
        <f>selling_cost*purchase_price</f>
        <v>44600</v>
      </c>
      <c r="D31" s="11"/>
    </row>
    <row r="32" spans="1:12" ht="21" x14ac:dyDescent="0.35">
      <c r="A32" s="13"/>
      <c r="B32" s="14"/>
      <c r="C32" s="16"/>
      <c r="D32" s="16"/>
    </row>
    <row r="33" spans="1:8" ht="21" x14ac:dyDescent="0.35">
      <c r="A33" s="8" t="s">
        <v>9</v>
      </c>
      <c r="B33" s="35"/>
      <c r="C33" s="16"/>
      <c r="D33" s="16"/>
    </row>
    <row r="34" spans="1:8" ht="21" x14ac:dyDescent="0.35">
      <c r="A34" s="36" t="s">
        <v>38</v>
      </c>
      <c r="B34" s="35">
        <v>2.5000000000000001E-3</v>
      </c>
      <c r="C34" s="11">
        <f>renovation_pct*purchase_price</f>
        <v>2787.5</v>
      </c>
      <c r="D34" s="11"/>
    </row>
    <row r="35" spans="1:8" ht="21" x14ac:dyDescent="0.35">
      <c r="A35" s="32" t="s">
        <v>39</v>
      </c>
      <c r="B35" s="35">
        <v>2.5000000000000001E-3</v>
      </c>
      <c r="C35" s="11">
        <f>maintenance_pct*purchase_price</f>
        <v>2787.5</v>
      </c>
      <c r="D35" s="11"/>
    </row>
    <row r="36" spans="1:8" ht="21" x14ac:dyDescent="0.35">
      <c r="A36" s="32" t="s">
        <v>29</v>
      </c>
      <c r="B36" s="35">
        <v>2E-3</v>
      </c>
      <c r="C36" s="11">
        <f>insurance_pct*purchase_price</f>
        <v>2230</v>
      </c>
      <c r="D36" s="11"/>
    </row>
    <row r="37" spans="1:8" ht="21" x14ac:dyDescent="0.35">
      <c r="A37" s="36" t="s">
        <v>30</v>
      </c>
      <c r="B37" s="38">
        <v>200</v>
      </c>
      <c r="C37" s="16"/>
      <c r="D37" s="16"/>
    </row>
    <row r="38" spans="1:8" ht="21" x14ac:dyDescent="0.35">
      <c r="A38" s="32" t="s">
        <v>62</v>
      </c>
      <c r="B38" s="15">
        <v>0</v>
      </c>
      <c r="C38" s="16"/>
      <c r="D38" s="16"/>
    </row>
    <row r="39" spans="1:8" ht="21" x14ac:dyDescent="0.35">
      <c r="A39" s="32" t="s">
        <v>65</v>
      </c>
      <c r="B39" s="14">
        <v>0</v>
      </c>
      <c r="C39" s="16"/>
      <c r="D39" s="16"/>
    </row>
    <row r="40" spans="1:8" ht="21" x14ac:dyDescent="0.35">
      <c r="A40" s="16"/>
      <c r="B40" s="16"/>
      <c r="C40" s="16"/>
      <c r="D40" s="16"/>
    </row>
    <row r="41" spans="1:8" ht="8.2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21" x14ac:dyDescent="0.35">
      <c r="A42" s="33" t="s">
        <v>17</v>
      </c>
      <c r="B42" s="34"/>
      <c r="C42" s="16"/>
      <c r="D42" s="16"/>
    </row>
    <row r="43" spans="1:8" ht="21" x14ac:dyDescent="0.35">
      <c r="A43" s="29" t="s">
        <v>0</v>
      </c>
      <c r="B43" s="25">
        <f>purchase_price*down_pct</f>
        <v>334500</v>
      </c>
      <c r="C43" s="16"/>
      <c r="D43" s="16"/>
    </row>
    <row r="44" spans="1:8" ht="21" x14ac:dyDescent="0.35">
      <c r="A44" s="29" t="s">
        <v>2</v>
      </c>
      <c r="B44" s="25">
        <f>purchase_price-B43</f>
        <v>780500</v>
      </c>
      <c r="C44" s="16"/>
      <c r="D44" s="16"/>
    </row>
    <row r="45" spans="1:8" ht="21" x14ac:dyDescent="0.35">
      <c r="A45" s="29" t="s">
        <v>16</v>
      </c>
      <c r="B45" s="25">
        <f>purchase_price*buying_cost</f>
        <v>33450</v>
      </c>
      <c r="C45" s="16"/>
      <c r="D45" s="16"/>
    </row>
    <row r="46" spans="1:8" ht="21.75" thickBot="1" x14ac:dyDescent="0.4">
      <c r="A46" s="23" t="s">
        <v>12</v>
      </c>
      <c r="B46" s="40">
        <f>B43+B45</f>
        <v>367950</v>
      </c>
      <c r="C46" s="16"/>
      <c r="D46" s="16"/>
    </row>
    <row r="47" spans="1:8" ht="21.75" thickTop="1" x14ac:dyDescent="0.35">
      <c r="A47" s="29"/>
      <c r="B47" s="39"/>
      <c r="C47" s="16"/>
      <c r="D47" s="16"/>
    </row>
    <row r="48" spans="1:8" ht="21" x14ac:dyDescent="0.35">
      <c r="A48" s="33" t="s">
        <v>68</v>
      </c>
      <c r="B48" s="34"/>
      <c r="C48" s="16"/>
      <c r="D48" s="16"/>
    </row>
    <row r="49" spans="1:9" ht="21" x14ac:dyDescent="0.35">
      <c r="A49" s="29" t="s">
        <v>44</v>
      </c>
      <c r="B49" s="25">
        <f>FV(rentvsbuy!house_appreciation,rentvsbuy!years_owned,0,rentvsbuy!purchase_price,0)*-1</f>
        <v>3118658.6458955687</v>
      </c>
      <c r="C49" s="37"/>
      <c r="D49" s="37"/>
    </row>
    <row r="50" spans="1:9" ht="21" x14ac:dyDescent="0.35">
      <c r="A50" s="29" t="s">
        <v>45</v>
      </c>
      <c r="B50" s="25">
        <f>B49*rentvsbuy!selling_cost</f>
        <v>124746.34583582275</v>
      </c>
      <c r="C50" s="16"/>
      <c r="D50" s="16"/>
    </row>
    <row r="51" spans="1:9" ht="21" x14ac:dyDescent="0.35">
      <c r="A51" s="29" t="s">
        <v>46</v>
      </c>
      <c r="B51" s="25">
        <f>B44-B56</f>
        <v>183130.7324934646</v>
      </c>
      <c r="C51" s="16"/>
      <c r="D51" s="16"/>
    </row>
    <row r="52" spans="1:9" ht="21" x14ac:dyDescent="0.35">
      <c r="A52" s="29" t="s">
        <v>64</v>
      </c>
      <c r="B52" s="25">
        <f>B49-purchase_price</f>
        <v>2003658.6458955687</v>
      </c>
      <c r="C52" s="16"/>
      <c r="D52" s="16"/>
    </row>
    <row r="53" spans="1:9" ht="21" x14ac:dyDescent="0.35">
      <c r="A53" s="29" t="s">
        <v>63</v>
      </c>
      <c r="B53" s="25">
        <f>IF(B52&gt;Capital_Gains_Deduction,(B52-Capital_Gains_Deduction)*capital_gains_rate,0)</f>
        <v>225548.79688433529</v>
      </c>
      <c r="C53" s="16"/>
      <c r="D53" s="16"/>
    </row>
    <row r="54" spans="1:9" ht="21" x14ac:dyDescent="0.35">
      <c r="A54" s="29"/>
      <c r="B54" s="25"/>
      <c r="C54" s="16"/>
      <c r="D54" s="16"/>
    </row>
    <row r="55" spans="1:9" ht="21" x14ac:dyDescent="0.35">
      <c r="A55" s="33" t="s">
        <v>67</v>
      </c>
      <c r="B55" s="34"/>
      <c r="C55" s="16"/>
      <c r="D55" s="16"/>
    </row>
    <row r="56" spans="1:9" ht="21" x14ac:dyDescent="0.35">
      <c r="A56" s="29" t="s">
        <v>18</v>
      </c>
      <c r="B56" s="25">
        <f>CUMPRINC((IF(rentvsbuy!mortgage_pct=0,0.000000000001,rentvsbuy!mortgage_pct))/12,(mortgage_length*12),(purchase_price*(1-down_pct)),1,(years_owned*12),0)*-1</f>
        <v>597369.2675065354</v>
      </c>
      <c r="C56" s="16"/>
      <c r="D56" s="16"/>
    </row>
    <row r="57" spans="1:9" ht="21" x14ac:dyDescent="0.35">
      <c r="A57" s="29" t="s">
        <v>11</v>
      </c>
      <c r="B57" s="25">
        <f>CUMIPMT((IF(rentvsbuy!mortgage_pct=0,0.0000000001,rentvsbuy!mortgage_pct))/12,(mortgage_length*12),(purchase_price*(1-down_pct)),1,(years_owned*12),0)*(1-marginal_tax_rate)*-1</f>
        <v>311853.26197677833</v>
      </c>
      <c r="C57" s="16"/>
      <c r="D57" s="16"/>
    </row>
    <row r="58" spans="1:9" ht="21" x14ac:dyDescent="0.35">
      <c r="A58" s="29" t="s">
        <v>47</v>
      </c>
      <c r="B58" s="25">
        <f>(FV(Inflation_pct,years_owned,(12*Condo_Fee),0,0)*-1)*(1-(condo_deduct_percent)*marginal_tax_rate)</f>
        <v>0</v>
      </c>
      <c r="C58" s="16"/>
      <c r="D58" s="16"/>
    </row>
    <row r="59" spans="1:9" ht="21" x14ac:dyDescent="0.35">
      <c r="A59" s="29" t="s">
        <v>48</v>
      </c>
      <c r="B59" s="25">
        <f>FV(appreciation_pct,years_owned,(purchase_price*property_tax_pct),0,1)*(1-marginal_tax_rate)*-1</f>
        <v>357910.68154683127</v>
      </c>
      <c r="C59" s="16"/>
      <c r="D59" s="16"/>
    </row>
    <row r="60" spans="1:9" ht="21" x14ac:dyDescent="0.35">
      <c r="A60" s="29" t="s">
        <v>49</v>
      </c>
      <c r="B60" s="25">
        <f>FV(Inflation_pct,years_owned,(12*additional_util_amt),0,0)*-1</f>
        <v>87502.234372337101</v>
      </c>
      <c r="C60" s="16"/>
      <c r="D60" s="16"/>
      <c r="I60" s="4"/>
    </row>
    <row r="61" spans="1:9" ht="21" x14ac:dyDescent="0.35">
      <c r="A61" s="29" t="s">
        <v>50</v>
      </c>
      <c r="B61" s="25">
        <f>FV(Inflation_pct,years_owned,(purchase_price*renovation_pct),0,0)*-1</f>
        <v>101630.19929703737</v>
      </c>
      <c r="C61" s="16"/>
      <c r="D61" s="16"/>
    </row>
    <row r="62" spans="1:9" ht="21" x14ac:dyDescent="0.35">
      <c r="A62" s="29" t="s">
        <v>51</v>
      </c>
      <c r="B62" s="25">
        <f>FV(Inflation_pct,years_owned,(purchase_price*maintenance_pct),0,0)*-1</f>
        <v>101630.19929703737</v>
      </c>
      <c r="C62" s="16"/>
      <c r="D62" s="16"/>
    </row>
    <row r="63" spans="1:9" ht="21" x14ac:dyDescent="0.35">
      <c r="A63" s="29" t="s">
        <v>52</v>
      </c>
      <c r="B63" s="25">
        <f>FV(appreciation_pct,years_owned,(purchase_price*insurance_pct),0,1)*-1</f>
        <v>99419.633763008678</v>
      </c>
      <c r="C63" s="16"/>
      <c r="D63" s="16"/>
    </row>
    <row r="64" spans="1:9" ht="21.75" thickBot="1" x14ac:dyDescent="0.4">
      <c r="A64" s="23" t="s">
        <v>66</v>
      </c>
      <c r="B64" s="40">
        <f>SUM(B56:B63)</f>
        <v>1657315.4777595657</v>
      </c>
      <c r="C64" s="16"/>
      <c r="D64" s="16"/>
    </row>
    <row r="65" spans="1:7" ht="21.75" thickTop="1" x14ac:dyDescent="0.35">
      <c r="A65" s="29"/>
      <c r="B65" s="25"/>
      <c r="C65" s="16"/>
      <c r="D65" s="16"/>
    </row>
    <row r="66" spans="1:7" ht="21" x14ac:dyDescent="0.35">
      <c r="A66" s="33" t="s">
        <v>14</v>
      </c>
      <c r="C66" s="16"/>
      <c r="D66" s="16"/>
    </row>
    <row r="67" spans="1:7" ht="21" x14ac:dyDescent="0.35">
      <c r="A67" s="29" t="s">
        <v>0</v>
      </c>
      <c r="B67" s="22">
        <f>FV(rentvsbuy!return_on_investments_rate*(1-capital_gains_rate),rentvsbuy!years_owned,0,(B43),0)*-1-(B43)</f>
        <v>885596.51290029497</v>
      </c>
      <c r="C67" s="16"/>
      <c r="D67" s="16"/>
    </row>
    <row r="68" spans="1:7" ht="21" x14ac:dyDescent="0.35">
      <c r="A68" s="29" t="s">
        <v>60</v>
      </c>
      <c r="B68" s="22">
        <f>FV(rentvsbuy!return_on_investments_rate*(1-capital_gains_rate),rentvsbuy!years_owned,0,(purchase_price*buying_cost),0)*-1-(purchase_price*buying_cost)</f>
        <v>88559.651290029491</v>
      </c>
      <c r="C68" s="16"/>
      <c r="D68" s="16"/>
    </row>
    <row r="69" spans="1:7" ht="21" x14ac:dyDescent="0.35">
      <c r="A69" s="29" t="s">
        <v>55</v>
      </c>
      <c r="B69" s="25">
        <f>opportunityMortgageInterest(purchase_price*(1-down_pct),mortgage_pct,mortgage_length,marginal_tax_rate,return_on_investments_rate,capital_gains_rate,years_owned)</f>
        <v>382714.42170189176</v>
      </c>
      <c r="C69" s="11"/>
      <c r="D69" s="11"/>
      <c r="F69" s="25"/>
      <c r="G69" s="25"/>
    </row>
    <row r="70" spans="1:7" ht="21" x14ac:dyDescent="0.35">
      <c r="A70" s="29" t="s">
        <v>56</v>
      </c>
      <c r="B70" s="25">
        <f>opportunityMortgagePrincipal(purchase_price*(1-down_pct),mortgage_pct,mortgage_length,return_on_investments_rate,capital_gains_rate,years_owned)</f>
        <v>502306.25530038233</v>
      </c>
      <c r="C70" s="25"/>
      <c r="D70" s="25"/>
    </row>
    <row r="71" spans="1:7" ht="21" x14ac:dyDescent="0.35">
      <c r="A71" s="29" t="s">
        <v>57</v>
      </c>
      <c r="B71" s="25">
        <f>opportunityPropertyTax(purchase_price,property_tax_pct,house_appreciation,return_on_investments_rate,marginal_tax_rate,capital_gains_rate,years_owned)</f>
        <v>281617.31572450575</v>
      </c>
      <c r="C71" s="25"/>
      <c r="D71" s="25"/>
    </row>
    <row r="72" spans="1:7" ht="21" x14ac:dyDescent="0.35">
      <c r="A72" s="29" t="s">
        <v>51</v>
      </c>
      <c r="B72" s="25">
        <f>opportunityMaintenance(purchase_price,maintenance_pct,Inflation_pct,return_on_investments_rate, capital_gains_rate,years_owned)</f>
        <v>85659.096353757661</v>
      </c>
      <c r="C72" s="16"/>
      <c r="D72" s="16"/>
    </row>
    <row r="73" spans="1:7" ht="21" x14ac:dyDescent="0.35">
      <c r="A73" s="29" t="s">
        <v>53</v>
      </c>
      <c r="B73" s="25">
        <f>opportunityRenovation(purchase_price,renovation_pct,Inflation_pct,return_on_investments_rate, capital_gains_rate,years_owned)</f>
        <v>85659.096353757661</v>
      </c>
      <c r="C73" s="16"/>
      <c r="D73" s="16"/>
    </row>
    <row r="74" spans="1:7" ht="21" x14ac:dyDescent="0.35">
      <c r="A74" s="29" t="s">
        <v>54</v>
      </c>
      <c r="B74" s="25">
        <f>opportunityInsurance(purchase_price,insurance_pct,house_appreciation,return_on_investments_rate, capital_gains_rate,years_owned)</f>
        <v>78227.032145696066</v>
      </c>
      <c r="C74" s="25"/>
      <c r="D74" s="25"/>
    </row>
    <row r="75" spans="1:7" ht="21" x14ac:dyDescent="0.35">
      <c r="A75" s="29" t="s">
        <v>49</v>
      </c>
      <c r="B75" s="25">
        <f>opportunityutilities(monthly_utilities_amt,Inflation_pct,return_on_investments_rate,capital_gains_rate,years_owned)</f>
        <v>73751.329596060415</v>
      </c>
      <c r="C75" s="16"/>
      <c r="D75" s="16"/>
    </row>
    <row r="76" spans="1:7" ht="21" x14ac:dyDescent="0.35">
      <c r="A76" s="29" t="s">
        <v>62</v>
      </c>
      <c r="B76" s="25">
        <f>opportunityCommonFee(Condo_Fee,condo_deduct_percent,Inflation_pct,return_on_investments_rate,marginal_tax_rate,capital_gains_rate,years_owned)</f>
        <v>0</v>
      </c>
      <c r="C76" s="16"/>
      <c r="D76" s="16"/>
    </row>
    <row r="77" spans="1:7" ht="21.75" thickBot="1" x14ac:dyDescent="0.4">
      <c r="A77" s="23" t="s">
        <v>43</v>
      </c>
      <c r="B77" s="40">
        <f>SUM(B67:B76)</f>
        <v>2464090.7113663764</v>
      </c>
      <c r="C77" s="16"/>
      <c r="D77" s="16"/>
    </row>
    <row r="78" spans="1:7" ht="16.5" thickTop="1" x14ac:dyDescent="0.3"/>
    <row r="79" spans="1:7" ht="21" x14ac:dyDescent="0.35">
      <c r="A79" s="8"/>
      <c r="B79" s="17"/>
      <c r="C79" s="16"/>
      <c r="D79" s="16"/>
    </row>
    <row r="80" spans="1:7" ht="21" x14ac:dyDescent="0.35">
      <c r="A80" s="9"/>
      <c r="B80" s="9"/>
      <c r="C80" s="16"/>
      <c r="D80" s="16"/>
    </row>
    <row r="81" spans="1:8" ht="21" x14ac:dyDescent="0.35">
      <c r="A81" s="16"/>
      <c r="B81" s="16"/>
      <c r="C81" s="16"/>
      <c r="D81" s="16"/>
      <c r="H81" s="2"/>
    </row>
    <row r="82" spans="1:8" ht="21" x14ac:dyDescent="0.35">
      <c r="A82" s="16"/>
      <c r="B82" s="16"/>
      <c r="C82" s="16"/>
      <c r="D82" s="16"/>
    </row>
    <row r="83" spans="1:8" ht="21" x14ac:dyDescent="0.35">
      <c r="A83" s="16"/>
      <c r="B83" s="16"/>
      <c r="C83" s="16"/>
      <c r="D83" s="16"/>
    </row>
    <row r="84" spans="1:8" ht="21" x14ac:dyDescent="0.35">
      <c r="A84" s="16"/>
      <c r="B84" s="16"/>
      <c r="C84" s="16"/>
      <c r="D84" s="16"/>
    </row>
    <row r="85" spans="1:8" ht="21" x14ac:dyDescent="0.35">
      <c r="A85" s="16"/>
      <c r="B85" s="16"/>
      <c r="C85" s="16"/>
      <c r="D85" s="16"/>
    </row>
    <row r="86" spans="1:8" ht="21" x14ac:dyDescent="0.35">
      <c r="A86" s="16"/>
      <c r="B86" s="16"/>
      <c r="C86" s="16"/>
      <c r="D86" s="16"/>
    </row>
    <row r="87" spans="1:8" ht="21" x14ac:dyDescent="0.35">
      <c r="A87" s="16"/>
      <c r="B87" s="16"/>
      <c r="C87" s="16"/>
      <c r="D87" s="16"/>
    </row>
    <row r="88" spans="1:8" ht="21" x14ac:dyDescent="0.35">
      <c r="A88" s="16"/>
      <c r="B88" s="16"/>
      <c r="C88" s="16"/>
      <c r="D88" s="16"/>
    </row>
    <row r="89" spans="1:8" ht="21" x14ac:dyDescent="0.35">
      <c r="A89" s="16"/>
      <c r="B89" s="16"/>
      <c r="C89" s="16"/>
      <c r="D89" s="16"/>
    </row>
    <row r="90" spans="1:8" ht="21" x14ac:dyDescent="0.35">
      <c r="A90" s="21"/>
      <c r="B90" s="22"/>
      <c r="C90" s="16"/>
      <c r="D90" s="16"/>
    </row>
    <row r="91" spans="1:8" ht="21" x14ac:dyDescent="0.35">
      <c r="A91" s="21"/>
      <c r="B91" s="22"/>
      <c r="C91" s="21"/>
      <c r="D91" s="21"/>
    </row>
    <row r="92" spans="1:8" ht="21" x14ac:dyDescent="0.35">
      <c r="A92" s="21"/>
      <c r="B92" s="22"/>
      <c r="C92" s="21"/>
      <c r="D92" s="21"/>
    </row>
    <row r="93" spans="1:8" ht="21" x14ac:dyDescent="0.35">
      <c r="A93" s="23"/>
      <c r="B93" s="21"/>
      <c r="C93" s="21"/>
      <c r="D93" s="21"/>
    </row>
    <row r="94" spans="1:8" ht="21" x14ac:dyDescent="0.35">
      <c r="A94" s="29"/>
      <c r="B94" s="25"/>
      <c r="C94" s="21"/>
      <c r="D94" s="21"/>
    </row>
    <row r="95" spans="1:8" ht="21" x14ac:dyDescent="0.35">
      <c r="A95" s="29"/>
      <c r="B95" s="25"/>
      <c r="C95" s="21"/>
      <c r="D95" s="21"/>
    </row>
    <row r="96" spans="1:8" ht="21" x14ac:dyDescent="0.35">
      <c r="A96" s="29"/>
      <c r="B96" s="25"/>
      <c r="C96" s="21"/>
      <c r="D96" s="21"/>
    </row>
    <row r="97" spans="1:4" ht="21" x14ac:dyDescent="0.35">
      <c r="A97" s="29"/>
      <c r="B97" s="25"/>
      <c r="C97" s="21"/>
      <c r="D97" s="21"/>
    </row>
    <row r="98" spans="1:4" ht="21" x14ac:dyDescent="0.35">
      <c r="A98" s="29"/>
      <c r="B98" s="25"/>
      <c r="C98" s="21"/>
      <c r="D98" s="21"/>
    </row>
    <row r="99" spans="1:4" ht="21" x14ac:dyDescent="0.35">
      <c r="A99" s="29"/>
      <c r="B99" s="25"/>
      <c r="C99" s="21"/>
      <c r="D99" s="21"/>
    </row>
    <row r="100" spans="1:4" ht="21" x14ac:dyDescent="0.35">
      <c r="A100" s="29"/>
      <c r="B100" s="25"/>
      <c r="C100" s="21"/>
      <c r="D100" s="21"/>
    </row>
    <row r="101" spans="1:4" ht="21" x14ac:dyDescent="0.35">
      <c r="A101" s="23"/>
      <c r="B101" s="24"/>
      <c r="C101" s="21"/>
      <c r="D101" s="21"/>
    </row>
    <row r="102" spans="1:4" ht="21" x14ac:dyDescent="0.35">
      <c r="A102" s="21"/>
      <c r="B102" s="25"/>
      <c r="C102" s="21"/>
      <c r="D102" s="21"/>
    </row>
    <row r="103" spans="1:4" ht="21" x14ac:dyDescent="0.35">
      <c r="A103" s="26"/>
      <c r="B103" s="25"/>
      <c r="C103" s="21"/>
      <c r="D103" s="21"/>
    </row>
    <row r="104" spans="1:4" ht="21" x14ac:dyDescent="0.35">
      <c r="A104" s="21"/>
      <c r="B104" s="25"/>
      <c r="C104" s="21"/>
      <c r="D104" s="21"/>
    </row>
    <row r="105" spans="1:4" ht="14.25" customHeight="1" x14ac:dyDescent="0.35">
      <c r="A105" s="21"/>
      <c r="B105" s="25"/>
      <c r="C105" s="21"/>
      <c r="D105" s="21"/>
    </row>
    <row r="106" spans="1:4" ht="21" x14ac:dyDescent="0.35">
      <c r="A106" s="21"/>
      <c r="B106" s="25"/>
      <c r="C106" s="21"/>
      <c r="D106" s="21"/>
    </row>
    <row r="107" spans="1:4" ht="21" x14ac:dyDescent="0.35">
      <c r="A107" s="21"/>
      <c r="B107" s="25"/>
      <c r="C107" s="21"/>
      <c r="D107" s="21"/>
    </row>
    <row r="108" spans="1:4" ht="21" x14ac:dyDescent="0.35">
      <c r="A108" s="26"/>
      <c r="B108" s="24"/>
      <c r="C108" s="21"/>
      <c r="D108" s="21"/>
    </row>
    <row r="109" spans="1:4" ht="21" x14ac:dyDescent="0.35">
      <c r="A109" s="21"/>
      <c r="B109" s="25"/>
      <c r="C109" s="21"/>
      <c r="D109" s="21"/>
    </row>
    <row r="110" spans="1:4" ht="21" x14ac:dyDescent="0.35">
      <c r="A110" s="21"/>
      <c r="B110" s="25"/>
      <c r="C110" s="22"/>
      <c r="D110" s="22"/>
    </row>
    <row r="111" spans="1:4" ht="21" x14ac:dyDescent="0.35">
      <c r="A111" s="21"/>
      <c r="B111" s="35"/>
      <c r="C111" s="21"/>
      <c r="D111" s="21"/>
    </row>
    <row r="112" spans="1:4" ht="21" x14ac:dyDescent="0.35">
      <c r="A112" s="26"/>
      <c r="B112" s="24"/>
      <c r="C112" s="21"/>
      <c r="D112" s="21"/>
    </row>
    <row r="113" spans="1:4" ht="21" x14ac:dyDescent="0.35">
      <c r="A113" s="21"/>
      <c r="B113" s="25"/>
      <c r="C113" s="21"/>
      <c r="D113" s="21"/>
    </row>
    <row r="114" spans="1:4" ht="21" x14ac:dyDescent="0.35">
      <c r="A114" s="26"/>
      <c r="B114" s="24"/>
      <c r="C114" s="21"/>
      <c r="D114" s="21"/>
    </row>
    <row r="115" spans="1:4" ht="21" x14ac:dyDescent="0.35">
      <c r="A115" s="21"/>
      <c r="B115" s="21"/>
      <c r="C115" s="21"/>
      <c r="D115" s="21"/>
    </row>
    <row r="116" spans="1:4" ht="21" x14ac:dyDescent="0.35">
      <c r="A116" s="19"/>
      <c r="B116" s="20"/>
      <c r="C116" s="16"/>
      <c r="D116" s="16"/>
    </row>
    <row r="117" spans="1:4" ht="21" x14ac:dyDescent="0.35">
      <c r="A117" s="19"/>
      <c r="B117" s="18"/>
      <c r="C117" s="16"/>
      <c r="D117" s="16"/>
    </row>
    <row r="118" spans="1:4" ht="21" x14ac:dyDescent="0.35">
      <c r="A118" s="19"/>
      <c r="B118" s="18"/>
      <c r="C118" s="16"/>
      <c r="D118" s="16"/>
    </row>
    <row r="119" spans="1:4" x14ac:dyDescent="0.3">
      <c r="A119" s="3"/>
      <c r="B119" s="3"/>
    </row>
    <row r="120" spans="1:4" x14ac:dyDescent="0.3">
      <c r="A120" s="3"/>
      <c r="B120" s="3"/>
    </row>
    <row r="121" spans="1:4" x14ac:dyDescent="0.3">
      <c r="B121" s="1"/>
    </row>
    <row r="122" spans="1:4" x14ac:dyDescent="0.3">
      <c r="B122" s="1"/>
    </row>
    <row r="123" spans="1:4" x14ac:dyDescent="0.3">
      <c r="B123" s="1"/>
    </row>
    <row r="124" spans="1:4" x14ac:dyDescent="0.3">
      <c r="B124" s="1"/>
    </row>
  </sheetData>
  <sheetProtection selectLockedCells="1"/>
  <mergeCells count="1">
    <mergeCell ref="F16:H16"/>
  </mergeCells>
  <dataValidations count="2">
    <dataValidation type="decimal" showInputMessage="1" showErrorMessage="1" error="The Value Must Be between 0% and 100%" sqref="B7 B39 B34:B36 B24:B26 B30:B31">
      <formula1>0</formula1>
      <formula2>1</formula2>
    </dataValidation>
    <dataValidation showInputMessage="1" showErrorMessage="1" error="The Value Must Be between 0% and 100%" sqref="B18:B21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rentvsbuy</vt:lpstr>
      <vt:lpstr>rentvsbuy!additional_util_amt</vt:lpstr>
      <vt:lpstr>rentvsbuy!appreciation_pct</vt:lpstr>
      <vt:lpstr>rentvsbuy!buying_cost</vt:lpstr>
      <vt:lpstr>rentvsbuy!Capital_Gains_Deduction</vt:lpstr>
      <vt:lpstr>rentvsbuy!capital_gains_rate</vt:lpstr>
      <vt:lpstr>rentvsbuy!condo_deduct_percent</vt:lpstr>
      <vt:lpstr>rentvsbuy!Condo_Fee</vt:lpstr>
      <vt:lpstr>rentvsbuy!down_pct</vt:lpstr>
      <vt:lpstr>rentvsbuy!house_appreciation</vt:lpstr>
      <vt:lpstr>rentvsbuy!Inflation_pct</vt:lpstr>
      <vt:lpstr>rentvsbuy!insurance_pct</vt:lpstr>
      <vt:lpstr>rentvsbuy!maintenance_pct</vt:lpstr>
      <vt:lpstr>rentvsbuy!marginal_tax_rate</vt:lpstr>
      <vt:lpstr>rentvsbuy!Monthly_Rent</vt:lpstr>
      <vt:lpstr>rentvsbuy!monthly_utilities_amt</vt:lpstr>
      <vt:lpstr>rentvsbuy!mortgage_length</vt:lpstr>
      <vt:lpstr>rentvsbuy!mortgage_pct</vt:lpstr>
      <vt:lpstr>rentvsbuy!proceeds</vt:lpstr>
      <vt:lpstr>rentvsbuy!property_tax_pct</vt:lpstr>
      <vt:lpstr>rentvsbuy!purchase_price</vt:lpstr>
      <vt:lpstr>rentvsbuy!renovation_pct</vt:lpstr>
      <vt:lpstr>rentvsbuy!Rent_Brokers_Fee</vt:lpstr>
      <vt:lpstr>rentvsbuy!Rent_Deposit</vt:lpstr>
      <vt:lpstr>rentvsbuy!Rent_Inflation_Rate</vt:lpstr>
      <vt:lpstr>rentvsbuy!Renters_Insurance_Rate</vt:lpstr>
      <vt:lpstr>rentvsbuy!return_on_investments_rate</vt:lpstr>
      <vt:lpstr>rentvsbuy!selling_cost</vt:lpstr>
      <vt:lpstr>rentvsbuy!years_owned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2020-05-23T02:14:38Z</dcterms:created>
  <dcterms:modified xsi:type="dcterms:W3CDTF">2020-05-23T02:33:53Z</dcterms:modified>
</cp:coreProperties>
</file>